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trang.nguyen/Downloads/"/>
    </mc:Choice>
  </mc:AlternateContent>
  <xr:revisionPtr revIDLastSave="0" documentId="13_ncr:1_{85E0C27C-0C87-BD4A-974E-7A7274B5BEFE}" xr6:coauthVersionLast="47" xr6:coauthVersionMax="47" xr10:uidLastSave="{00000000-0000-0000-0000-000000000000}"/>
  <bookViews>
    <workbookView xWindow="0" yWindow="660" windowWidth="30240" windowHeight="18980" tabRatio="500" xr2:uid="{00000000-000D-0000-FFFF-FFFF00000000}"/>
  </bookViews>
  <sheets>
    <sheet name="Dashboard" sheetId="1" r:id="rId1"/>
    <sheet name="Invoices" sheetId="2" r:id="rId2"/>
    <sheet name="Monthly Summary" sheetId="3" r:id="rId3"/>
    <sheet name="Vendor Analysis" sheetId="4" r:id="rId4"/>
    <sheet name="Company Summary" sheetId="5" r:id="rId5"/>
    <sheet name="Overdue Tracker" sheetId="6" r:id="rId6"/>
    <sheet name="Payment Analysis" sheetId="7" r:id="rId7"/>
  </sheets>
  <definedNames>
    <definedName name="_xlnm._FilterDatabase" localSheetId="1" hidden="1">Invoices!$A$2:$L$203</definedName>
    <definedName name="_xlnm._FilterDatabase" localSheetId="5" hidden="1">'Overdue Tracker'!$B$4:$L$4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" i="4" l="1"/>
  <c r="F15" i="4"/>
  <c r="E15" i="4"/>
  <c r="D15" i="4"/>
  <c r="G10" i="3"/>
  <c r="F10" i="3"/>
  <c r="E10" i="3"/>
  <c r="D10" i="3"/>
  <c r="C10" i="3"/>
</calcChain>
</file>

<file path=xl/sharedStrings.xml><?xml version="1.0" encoding="utf-8"?>
<sst xmlns="http://schemas.openxmlformats.org/spreadsheetml/2006/main" count="1509" uniqueCount="186">
  <si>
    <t>Accounts Payable Dashboard</t>
  </si>
  <si>
    <t>Bizzi Group  ·  FY 2025</t>
  </si>
  <si>
    <t>Jan – Jul 2025  ·  USD equiv.</t>
  </si>
  <si>
    <t>TOTAL PAID SPEND</t>
  </si>
  <si>
    <t>PENDING PAYABLES</t>
  </si>
  <si>
    <t>AVG DAYS TO PAY</t>
  </si>
  <si>
    <t>OVERDUE INVOICES</t>
  </si>
  <si>
    <t>TOTAL INVOICES</t>
  </si>
  <si>
    <t>ACTIVE VENDORS</t>
  </si>
  <si>
    <t>$975,216</t>
  </si>
  <si>
    <t>$260,983</t>
  </si>
  <si>
    <t>30 days</t>
  </si>
  <si>
    <t>49</t>
  </si>
  <si>
    <t>201</t>
  </si>
  <si>
    <t>10</t>
  </si>
  <si>
    <t>151 invoices</t>
  </si>
  <si>
    <t>49 invoices</t>
  </si>
  <si>
    <t>from issue date</t>
  </si>
  <si>
    <t>$260,983 at risk</t>
  </si>
  <si>
    <t>3 companies</t>
  </si>
  <si>
    <t>unique suppliers</t>
  </si>
  <si>
    <t>Top Vendors by Spend</t>
  </si>
  <si>
    <t>Spend by Company</t>
  </si>
  <si>
    <t>Vendor</t>
  </si>
  <si>
    <t>Category</t>
  </si>
  <si>
    <t>Total (USD)</t>
  </si>
  <si>
    <t>Invoices</t>
  </si>
  <si>
    <t>Avg / Invoice</t>
  </si>
  <si>
    <t>Avg Days</t>
  </si>
  <si>
    <t>Bizzi Manufacturing</t>
  </si>
  <si>
    <t>$521,275</t>
  </si>
  <si>
    <t>53.5%</t>
  </si>
  <si>
    <t>Shopee Ads</t>
  </si>
  <si>
    <t>Marketing</t>
  </si>
  <si>
    <t>$303,660</t>
  </si>
  <si>
    <t>$23,358</t>
  </si>
  <si>
    <t>32d</t>
  </si>
  <si>
    <t>Bizzi Retail</t>
  </si>
  <si>
    <t>$258,226</t>
  </si>
  <si>
    <t>26.5%</t>
  </si>
  <si>
    <t>Hilton Hotels</t>
  </si>
  <si>
    <t>Travel</t>
  </si>
  <si>
    <t>$99,451</t>
  </si>
  <si>
    <t>$4,973</t>
  </si>
  <si>
    <t>28d</t>
  </si>
  <si>
    <t>Bizzi Tech</t>
  </si>
  <si>
    <t>$195,716</t>
  </si>
  <si>
    <t>20.1%</t>
  </si>
  <si>
    <t>Viettel Telecom</t>
  </si>
  <si>
    <t>Telecom</t>
  </si>
  <si>
    <t>$87,699</t>
  </si>
  <si>
    <t>$5,847</t>
  </si>
  <si>
    <t>39d</t>
  </si>
  <si>
    <t>Vietnam Airlines</t>
  </si>
  <si>
    <t>$83,404</t>
  </si>
  <si>
    <t>$4,906</t>
  </si>
  <si>
    <t>27d</t>
  </si>
  <si>
    <t>KPMG Vietnam</t>
  </si>
  <si>
    <t>Consulting</t>
  </si>
  <si>
    <t>$81,189</t>
  </si>
  <si>
    <t>$5,074</t>
  </si>
  <si>
    <t>31d</t>
  </si>
  <si>
    <t>Meta Ads</t>
  </si>
  <si>
    <t>$80,417</t>
  </si>
  <si>
    <t>$5,026</t>
  </si>
  <si>
    <t>40d</t>
  </si>
  <si>
    <t>Monthly Spend Overview (USD)</t>
  </si>
  <si>
    <t>Jan 2025</t>
  </si>
  <si>
    <t>Feb 2025</t>
  </si>
  <si>
    <t>Mar 2025</t>
  </si>
  <si>
    <t>Apr 2025</t>
  </si>
  <si>
    <t>May 2025</t>
  </si>
  <si>
    <t>Paid</t>
  </si>
  <si>
    <t>$121,070</t>
  </si>
  <si>
    <t>$399,048</t>
  </si>
  <si>
    <t>$201,199</t>
  </si>
  <si>
    <t>$131,232</t>
  </si>
  <si>
    <t>$122,298</t>
  </si>
  <si>
    <t>Pending</t>
  </si>
  <si>
    <t>$59,312</t>
  </si>
  <si>
    <t>$47,244</t>
  </si>
  <si>
    <t>$67,545</t>
  </si>
  <si>
    <t>$47,118</t>
  </si>
  <si>
    <t>$39,764</t>
  </si>
  <si>
    <t>Overdue Invoices  —  49 invoices  ·  $260,983 at risk</t>
  </si>
  <si>
    <t>Inv #</t>
  </si>
  <si>
    <t>Company</t>
  </si>
  <si>
    <t>Amount (USD)</t>
  </si>
  <si>
    <t>Due Date</t>
  </si>
  <si>
    <t>Days Overdue</t>
  </si>
  <si>
    <t>Status</t>
  </si>
  <si>
    <t>#141</t>
  </si>
  <si>
    <t>$5,927</t>
  </si>
  <si>
    <t>03 Feb 2025</t>
  </si>
  <si>
    <t>+172d</t>
  </si>
  <si>
    <t>Submitted</t>
  </si>
  <si>
    <t>#15</t>
  </si>
  <si>
    <t>$3,847</t>
  </si>
  <si>
    <t>07 Feb 2025</t>
  </si>
  <si>
    <t>+168d</t>
  </si>
  <si>
    <t>Approved</t>
  </si>
  <si>
    <t>#180</t>
  </si>
  <si>
    <t>$7,001</t>
  </si>
  <si>
    <t>09 Feb 2025</t>
  </si>
  <si>
    <t>+166d</t>
  </si>
  <si>
    <t>#48</t>
  </si>
  <si>
    <t>$1,516</t>
  </si>
  <si>
    <t>15 Feb 2025</t>
  </si>
  <si>
    <t>+160d</t>
  </si>
  <si>
    <t>#57</t>
  </si>
  <si>
    <t>$1,109</t>
  </si>
  <si>
    <t>16 Feb 2025</t>
  </si>
  <si>
    <t>+159d</t>
  </si>
  <si>
    <t>#16</t>
  </si>
  <si>
    <t>$7,770</t>
  </si>
  <si>
    <t>17 Feb 2025</t>
  </si>
  <si>
    <t>+158d</t>
  </si>
  <si>
    <t>#46</t>
  </si>
  <si>
    <t>$8,788</t>
  </si>
  <si>
    <t>22 Feb 2025</t>
  </si>
  <si>
    <t>+153d</t>
  </si>
  <si>
    <t>#1</t>
  </si>
  <si>
    <t>DHL Express</t>
  </si>
  <si>
    <t>$3,915</t>
  </si>
  <si>
    <t>25 Feb 2025</t>
  </si>
  <si>
    <t>+150d</t>
  </si>
  <si>
    <t>Invoice ID</t>
  </si>
  <si>
    <t>Issue Date</t>
  </si>
  <si>
    <t>Paid Date</t>
  </si>
  <si>
    <t>Amount (Orig)</t>
  </si>
  <si>
    <t>Currency</t>
  </si>
  <si>
    <t>Days to Pay</t>
  </si>
  <si>
    <t>Logistics</t>
  </si>
  <si>
    <t>USD</t>
  </si>
  <si>
    <t>FPT Software</t>
  </si>
  <si>
    <t>IT Services</t>
  </si>
  <si>
    <t>AWS Singapore</t>
  </si>
  <si>
    <t>Cloud</t>
  </si>
  <si>
    <t>SGD</t>
  </si>
  <si>
    <t>Microsoft Asia</t>
  </si>
  <si>
    <t>Software</t>
  </si>
  <si>
    <t>Monthly Invoice Summary</t>
  </si>
  <si>
    <t>Month</t>
  </si>
  <si>
    <t>Total Invoices</t>
  </si>
  <si>
    <t>Paid (USD)</t>
  </si>
  <si>
    <t>Pending (USD)</t>
  </si>
  <si>
    <t>Paid Count</t>
  </si>
  <si>
    <t>Pending Count</t>
  </si>
  <si>
    <t>2025-01</t>
  </si>
  <si>
    <t>2025-02</t>
  </si>
  <si>
    <t>2025-03</t>
  </si>
  <si>
    <t>2025-04</t>
  </si>
  <si>
    <t>2025-05</t>
  </si>
  <si>
    <t>TOTAL</t>
  </si>
  <si>
    <t>Vendor Spend Analysis</t>
  </si>
  <si>
    <t>Total Spend (USD)</t>
  </si>
  <si>
    <t># Invoices</t>
  </si>
  <si>
    <t>Avg Invoice (USD)</t>
  </si>
  <si>
    <t>Avg Days to Pay</t>
  </si>
  <si>
    <t>% of Total</t>
  </si>
  <si>
    <t>Spend by Company &amp; Category</t>
  </si>
  <si>
    <t>% Share</t>
  </si>
  <si>
    <t xml:space="preserve"> Overdue Invoice Tracker</t>
  </si>
  <si>
    <t>Invoices past due date as of 25 Jul 2025 · Not yet paid</t>
  </si>
  <si>
    <t>submitted</t>
  </si>
  <si>
    <t>approved</t>
  </si>
  <si>
    <t>SUMMARY</t>
  </si>
  <si>
    <t>Total overdue invoices: 49</t>
  </si>
  <si>
    <t>Total at risk (USD): $260,983</t>
  </si>
  <si>
    <t>Oldest overdue: 172 days</t>
  </si>
  <si>
    <t>Payment Method &amp; Timing Analysis</t>
  </si>
  <si>
    <t>Payment Methods</t>
  </si>
  <si>
    <t>Payment Method</t>
  </si>
  <si>
    <t># Transactions</t>
  </si>
  <si>
    <t>Total Fees (USD)</t>
  </si>
  <si>
    <t>Avg Fee (USD)</t>
  </si>
  <si>
    <t>Credit Card</t>
  </si>
  <si>
    <t>Bank Transfer</t>
  </si>
  <si>
    <t>Days to Pay Distribution</t>
  </si>
  <si>
    <t>Days Bucket</t>
  </si>
  <si>
    <t>0-7d</t>
  </si>
  <si>
    <t>8-15d</t>
  </si>
  <si>
    <t>16-30d</t>
  </si>
  <si>
    <t>31-45d</t>
  </si>
  <si>
    <t>46-60d</t>
  </si>
  <si>
    <t>60d+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</si>
</sst>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m\-yyyy"/>
    <numFmt numFmtId="165" formatCode="\$#,##0"/>
    <numFmt numFmtId="166" formatCode="0.0"/>
    <numFmt numFmtId="167" formatCode="0.0%"/>
    <numFmt numFmtId="168" formatCode="\$#,##0.00"/>
  </numFmts>
  <fonts count="35" x14ac:knownFonts="1">
    <font>
      <sz val="11"/>
      <color theme="1"/>
      <name val="Calibri"/>
      <family val="2"/>
      <charset val="1"/>
    </font>
    <font>
      <b/>
      <sz val="17"/>
      <color rgb="FFFFFFFF"/>
      <name val="Arial"/>
      <family val="2"/>
    </font>
    <font>
      <sz val="9"/>
      <color rgb="FF94A3B8"/>
      <name val="Arial"/>
      <family val="2"/>
    </font>
    <font>
      <b/>
      <sz val="7.5"/>
      <color rgb="FF065F46"/>
      <name val="Arial"/>
      <family val="2"/>
    </font>
    <font>
      <b/>
      <sz val="7.5"/>
      <color rgb="FF78350F"/>
      <name val="Arial"/>
      <family val="2"/>
    </font>
    <font>
      <b/>
      <sz val="7.5"/>
      <color rgb="FF134E4A"/>
      <name val="Arial"/>
      <family val="2"/>
    </font>
    <font>
      <b/>
      <sz val="7.5"/>
      <color rgb="FF7F1D1D"/>
      <name val="Arial"/>
      <family val="2"/>
    </font>
    <font>
      <b/>
      <sz val="7.5"/>
      <color rgb="FF3B0764"/>
      <name val="Arial"/>
      <family val="2"/>
    </font>
    <font>
      <b/>
      <sz val="7.5"/>
      <color rgb="FF431407"/>
      <name val="Arial"/>
      <family val="2"/>
    </font>
    <font>
      <b/>
      <sz val="18"/>
      <color rgb="FF0F172A"/>
      <name val="Arial"/>
      <family val="2"/>
    </font>
    <font>
      <sz val="8.5"/>
      <color rgb="FF475569"/>
      <name val="Arial"/>
      <family val="2"/>
    </font>
    <font>
      <b/>
      <sz val="10"/>
      <color rgb="FF0F172A"/>
      <name val="Arial"/>
      <family val="2"/>
    </font>
    <font>
      <b/>
      <sz val="8.5"/>
      <color rgb="FF475569"/>
      <name val="Arial"/>
      <family val="2"/>
    </font>
    <font>
      <b/>
      <sz val="9"/>
      <color rgb="FF0F172A"/>
      <name val="Arial"/>
      <family val="2"/>
    </font>
    <font>
      <sz val="9"/>
      <color rgb="FF475569"/>
      <name val="Arial"/>
      <family val="2"/>
    </font>
    <font>
      <b/>
      <sz val="8.5"/>
      <color rgb="FF065F46"/>
      <name val="Arial"/>
      <family val="2"/>
    </font>
    <font>
      <b/>
      <sz val="9"/>
      <color rgb="FF065F46"/>
      <name val="Arial"/>
      <family val="2"/>
    </font>
    <font>
      <b/>
      <sz val="8.5"/>
      <color rgb="FF78350F"/>
      <name val="Arial"/>
      <family val="2"/>
    </font>
    <font>
      <sz val="9"/>
      <color rgb="FF78350F"/>
      <name val="Arial"/>
      <family val="2"/>
    </font>
    <font>
      <b/>
      <sz val="10"/>
      <color rgb="FF7F1D1D"/>
      <name val="Arial"/>
      <family val="2"/>
    </font>
    <font>
      <b/>
      <sz val="8.5"/>
      <color rgb="FF7F1D1D"/>
      <name val="Arial"/>
      <family val="2"/>
    </font>
    <font>
      <b/>
      <sz val="9"/>
      <color rgb="FF7F1D1D"/>
      <name val="Arial"/>
      <family val="2"/>
    </font>
    <font>
      <sz val="9"/>
      <color rgb="FF4C1D95"/>
      <name val="Arial"/>
      <family val="2"/>
    </font>
    <font>
      <b/>
      <sz val="10"/>
      <color rgb="FFF8FAFC"/>
      <name val="Arial"/>
      <family val="2"/>
      <charset val="1"/>
    </font>
    <font>
      <sz val="10"/>
      <name val="Arial"/>
      <family val="2"/>
      <charset val="1"/>
    </font>
    <font>
      <b/>
      <sz val="10"/>
      <color rgb="FF92400E"/>
      <name val="Arial"/>
      <family val="2"/>
      <charset val="1"/>
    </font>
    <font>
      <b/>
      <sz val="10"/>
      <color rgb="FFEF4444"/>
      <name val="Arial"/>
      <family val="2"/>
      <charset val="1"/>
    </font>
    <font>
      <b/>
      <sz val="10"/>
      <color rgb="FF065F46"/>
      <name val="Arial"/>
      <family val="2"/>
      <charset val="1"/>
    </font>
    <font>
      <b/>
      <sz val="10"/>
      <color rgb="FF4C1D95"/>
      <name val="Arial"/>
      <family val="2"/>
      <charset val="1"/>
    </font>
    <font>
      <b/>
      <sz val="14"/>
      <color rgb="FF0EA5E9"/>
      <name val="Arial"/>
      <family val="2"/>
      <charset val="1"/>
    </font>
    <font>
      <b/>
      <sz val="10"/>
      <name val="Arial"/>
      <family val="2"/>
      <charset val="1"/>
    </font>
    <font>
      <b/>
      <sz val="14"/>
      <color rgb="FFEF4444"/>
      <name val="Arial"/>
      <family val="2"/>
      <charset val="1"/>
    </font>
    <font>
      <sz val="10"/>
      <color rgb="FF94A3B8"/>
      <name val="Arial"/>
      <family val="2"/>
      <charset val="1"/>
    </font>
    <font>
      <sz val="10"/>
      <color rgb="FF000000"/>
      <name val="Arial"/>
      <family val="2"/>
      <charset val="1"/>
    </font>
    <font>
      <b/>
      <sz val="11"/>
      <color rgb="FF0EA5E9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F1F5F9"/>
        <bgColor rgb="FFF5F3FF"/>
      </patternFill>
    </fill>
    <fill>
      <patternFill patternType="solid">
        <fgColor rgb="FF6EE7B7"/>
        <bgColor rgb="FF5EEAD4"/>
      </patternFill>
    </fill>
    <fill>
      <patternFill patternType="solid">
        <fgColor rgb="FFFCD34D"/>
        <bgColor rgb="FFFED7AA"/>
      </patternFill>
    </fill>
    <fill>
      <patternFill patternType="solid">
        <fgColor rgb="FF5EEAD4"/>
        <bgColor rgb="FF6EE7B7"/>
      </patternFill>
    </fill>
    <fill>
      <patternFill patternType="solid">
        <fgColor rgb="FFFCA5A5"/>
        <bgColor rgb="FFD09493"/>
      </patternFill>
    </fill>
    <fill>
      <patternFill patternType="solid">
        <fgColor rgb="FFC4B5FD"/>
        <bgColor rgb="FFCBD5E1"/>
      </patternFill>
    </fill>
    <fill>
      <patternFill patternType="solid">
        <fgColor rgb="FFFED7AA"/>
        <bgColor rgb="FFFEE2E2"/>
      </patternFill>
    </fill>
    <fill>
      <patternFill patternType="solid">
        <fgColor rgb="FFECFDF5"/>
        <bgColor rgb="FFF0FDFA"/>
      </patternFill>
    </fill>
    <fill>
      <patternFill patternType="solid">
        <fgColor rgb="FFFFFBEB"/>
        <bgColor rgb="FFFFF7ED"/>
      </patternFill>
    </fill>
    <fill>
      <patternFill patternType="solid">
        <fgColor rgb="FFF0FDFA"/>
        <bgColor rgb="FFECFDF5"/>
      </patternFill>
    </fill>
    <fill>
      <patternFill patternType="solid">
        <fgColor rgb="FFFFF1F2"/>
        <bgColor rgb="FFFEF2F2"/>
      </patternFill>
    </fill>
    <fill>
      <patternFill patternType="solid">
        <fgColor rgb="FFFAF5FF"/>
        <bgColor rgb="FFF5F3FF"/>
      </patternFill>
    </fill>
    <fill>
      <patternFill patternType="solid">
        <fgColor rgb="FFFFF7ED"/>
        <bgColor rgb="FFFFFBEB"/>
      </patternFill>
    </fill>
    <fill>
      <patternFill patternType="solid">
        <fgColor rgb="FFFFFFFF"/>
        <bgColor rgb="FFF8FAFC"/>
      </patternFill>
    </fill>
    <fill>
      <patternFill patternType="solid">
        <fgColor rgb="FFEDE9FE"/>
        <bgColor rgb="FFE2E8F0"/>
      </patternFill>
    </fill>
    <fill>
      <patternFill patternType="solid">
        <fgColor rgb="FFFEF3C7"/>
        <bgColor rgb="FFFFF7ED"/>
      </patternFill>
    </fill>
    <fill>
      <patternFill patternType="solid">
        <fgColor rgb="FF1E293B"/>
        <bgColor rgb="FF0F172A"/>
      </patternFill>
    </fill>
    <fill>
      <patternFill patternType="solid">
        <fgColor rgb="FFF8FAFC"/>
        <bgColor rgb="FFF9F9F9"/>
      </patternFill>
    </fill>
    <fill>
      <patternFill patternType="solid">
        <fgColor rgb="FFD1FAE5"/>
        <bgColor rgb="FFE0F2FE"/>
      </patternFill>
    </fill>
    <fill>
      <patternFill patternType="solid">
        <fgColor rgb="FF334155"/>
        <bgColor rgb="FF134E4A"/>
      </patternFill>
    </fill>
    <fill>
      <patternFill patternType="solid">
        <fgColor rgb="FFF5F3FF"/>
        <bgColor rgb="FFFAF5FF"/>
      </patternFill>
    </fill>
    <fill>
      <patternFill patternType="solid">
        <fgColor rgb="FFE0F2FE"/>
        <bgColor rgb="FFE2E8F0"/>
      </patternFill>
    </fill>
    <fill>
      <patternFill patternType="solid">
        <fgColor rgb="FF7F1D1D"/>
        <bgColor rgb="FF78350F"/>
      </patternFill>
    </fill>
    <fill>
      <patternFill patternType="solid">
        <fgColor rgb="FFFEE2E2"/>
        <bgColor rgb="FFFFF1F2"/>
      </patternFill>
    </fill>
    <fill>
      <patternFill patternType="solid">
        <fgColor rgb="FFFEF2F2"/>
        <bgColor rgb="FFFFF1F2"/>
      </patternFill>
    </fill>
  </fills>
  <borders count="22">
    <border>
      <left/>
      <right/>
      <top/>
      <bottom/>
      <diagonal/>
    </border>
    <border>
      <left style="medium">
        <color rgb="FF065F46"/>
      </left>
      <right/>
      <top/>
      <bottom/>
      <diagonal/>
    </border>
    <border>
      <left style="medium">
        <color rgb="FF78350F"/>
      </left>
      <right/>
      <top/>
      <bottom/>
      <diagonal/>
    </border>
    <border>
      <left style="medium">
        <color rgb="FF134E4A"/>
      </left>
      <right/>
      <top/>
      <bottom/>
      <diagonal/>
    </border>
    <border>
      <left style="medium">
        <color rgb="FF7F1D1D"/>
      </left>
      <right/>
      <top/>
      <bottom/>
      <diagonal/>
    </border>
    <border>
      <left style="medium">
        <color rgb="FF3B0764"/>
      </left>
      <right/>
      <top/>
      <bottom/>
      <diagonal/>
    </border>
    <border>
      <left style="medium">
        <color rgb="FF431407"/>
      </left>
      <right/>
      <top/>
      <bottom/>
      <diagonal/>
    </border>
    <border>
      <left style="medium">
        <color rgb="FF065F46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 style="medium">
        <color rgb="FF78350F"/>
      </left>
      <right/>
      <top/>
      <bottom style="thin">
        <color rgb="FFCBD5E1"/>
      </bottom>
      <diagonal/>
    </border>
    <border>
      <left style="medium">
        <color rgb="FF134E4A"/>
      </left>
      <right/>
      <top/>
      <bottom style="thin">
        <color rgb="FFCBD5E1"/>
      </bottom>
      <diagonal/>
    </border>
    <border>
      <left style="medium">
        <color rgb="FF7F1D1D"/>
      </left>
      <right/>
      <top/>
      <bottom style="thin">
        <color rgb="FFCBD5E1"/>
      </bottom>
      <diagonal/>
    </border>
    <border>
      <left style="medium">
        <color rgb="FF3B0764"/>
      </left>
      <right/>
      <top/>
      <bottom style="thin">
        <color rgb="FFCBD5E1"/>
      </bottom>
      <diagonal/>
    </border>
    <border>
      <left style="medium">
        <color rgb="FF431407"/>
      </left>
      <right/>
      <top/>
      <bottom style="thin">
        <color rgb="FFCBD5E1"/>
      </bottom>
      <diagonal/>
    </border>
    <border>
      <left style="thick">
        <color rgb="FF1D4ED8"/>
      </left>
      <right/>
      <top/>
      <bottom/>
      <diagonal/>
    </border>
    <border>
      <left/>
      <right/>
      <top/>
      <bottom style="medium">
        <color rgb="FF1D4ED8"/>
      </bottom>
      <diagonal/>
    </border>
    <border>
      <left/>
      <right/>
      <top/>
      <bottom style="thin">
        <color rgb="FFE2E8F0"/>
      </bottom>
      <diagonal/>
    </border>
    <border>
      <left style="thin">
        <color rgb="FF6EE7B7"/>
      </left>
      <right/>
      <top/>
      <bottom style="thin">
        <color rgb="FF6EE7B7"/>
      </bottom>
      <diagonal/>
    </border>
    <border>
      <left style="thin">
        <color rgb="FFFCD34D"/>
      </left>
      <right/>
      <top/>
      <bottom style="thin">
        <color rgb="FFFCD34D"/>
      </bottom>
      <diagonal/>
    </border>
    <border>
      <left style="thick">
        <color rgb="FF7F1D1D"/>
      </left>
      <right/>
      <top/>
      <bottom/>
      <diagonal/>
    </border>
    <border>
      <left/>
      <right/>
      <top/>
      <bottom style="medium">
        <color rgb="FFFCA5A5"/>
      </bottom>
      <diagonal/>
    </border>
    <border>
      <left style="thin">
        <color rgb="FFD5D7DB"/>
      </left>
      <right style="thin">
        <color rgb="FFD5D7DB"/>
      </right>
      <top style="thin">
        <color rgb="FFD5D7DB"/>
      </top>
      <bottom style="thin">
        <color rgb="FFD5D7DB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9" fillId="15" borderId="6" xfId="0" applyFont="1" applyFill="1" applyBorder="1" applyAlignment="1">
      <alignment horizontal="left" vertical="center"/>
    </xf>
    <xf numFmtId="0" fontId="9" fillId="14" borderId="5" xfId="0" applyFont="1" applyFill="1" applyBorder="1" applyAlignment="1">
      <alignment horizontal="left" vertical="center"/>
    </xf>
    <xf numFmtId="0" fontId="9" fillId="13" borderId="4" xfId="0" applyFont="1" applyFill="1" applyBorder="1" applyAlignment="1">
      <alignment horizontal="left" vertical="center"/>
    </xf>
    <xf numFmtId="0" fontId="9" fillId="12" borderId="3" xfId="0" applyFont="1" applyFill="1" applyBorder="1" applyAlignment="1">
      <alignment horizontal="left" vertical="center"/>
    </xf>
    <xf numFmtId="0" fontId="9" fillId="11" borderId="2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left" vertical="center"/>
    </xf>
    <xf numFmtId="0" fontId="8" fillId="15" borderId="6" xfId="0" applyFont="1" applyFill="1" applyBorder="1" applyAlignment="1">
      <alignment horizontal="left" vertical="center"/>
    </xf>
    <xf numFmtId="0" fontId="7" fillId="14" borderId="5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5" fillId="12" borderId="3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0" xfId="0" applyFill="1"/>
    <xf numFmtId="0" fontId="0" fillId="6" borderId="3" xfId="0" applyFill="1" applyBorder="1"/>
    <xf numFmtId="0" fontId="0" fillId="6" borderId="0" xfId="0" applyFill="1"/>
    <xf numFmtId="0" fontId="0" fillId="7" borderId="4" xfId="0" applyFill="1" applyBorder="1"/>
    <xf numFmtId="0" fontId="0" fillId="7" borderId="0" xfId="0" applyFill="1"/>
    <xf numFmtId="0" fontId="0" fillId="8" borderId="5" xfId="0" applyFill="1" applyBorder="1"/>
    <xf numFmtId="0" fontId="0" fillId="8" borderId="0" xfId="0" applyFill="1"/>
    <xf numFmtId="0" fontId="0" fillId="9" borderId="6" xfId="0" applyFill="1" applyBorder="1"/>
    <xf numFmtId="0" fontId="0" fillId="9" borderId="0" xfId="0" applyFill="1"/>
    <xf numFmtId="0" fontId="0" fillId="10" borderId="7" xfId="0" applyFill="1" applyBorder="1"/>
    <xf numFmtId="0" fontId="0" fillId="10" borderId="8" xfId="0" applyFill="1" applyBorder="1"/>
    <xf numFmtId="0" fontId="0" fillId="11" borderId="9" xfId="0" applyFill="1" applyBorder="1"/>
    <xf numFmtId="0" fontId="0" fillId="11" borderId="8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13" borderId="11" xfId="0" applyFill="1" applyBorder="1"/>
    <xf numFmtId="0" fontId="0" fillId="13" borderId="8" xfId="0" applyFill="1" applyBorder="1"/>
    <xf numFmtId="0" fontId="0" fillId="14" borderId="12" xfId="0" applyFill="1" applyBorder="1"/>
    <xf numFmtId="0" fontId="0" fillId="14" borderId="8" xfId="0" applyFill="1" applyBorder="1"/>
    <xf numFmtId="0" fontId="0" fillId="15" borderId="13" xfId="0" applyFill="1" applyBorder="1"/>
    <xf numFmtId="0" fontId="0" fillId="15" borderId="8" xfId="0" applyFill="1" applyBorder="1"/>
    <xf numFmtId="0" fontId="12" fillId="3" borderId="15" xfId="0" applyFont="1" applyFill="1" applyBorder="1" applyAlignment="1">
      <alignment horizontal="left" vertical="center"/>
    </xf>
    <xf numFmtId="0" fontId="12" fillId="3" borderId="15" xfId="0" applyFont="1" applyFill="1" applyBorder="1" applyAlignment="1">
      <alignment horizontal="right" vertical="center"/>
    </xf>
    <xf numFmtId="0" fontId="12" fillId="3" borderId="15" xfId="0" applyFont="1" applyFill="1" applyBorder="1" applyAlignment="1">
      <alignment horizontal="center" vertical="center"/>
    </xf>
    <xf numFmtId="0" fontId="13" fillId="16" borderId="16" xfId="0" applyFont="1" applyFill="1" applyBorder="1" applyAlignment="1">
      <alignment horizontal="left" vertical="center"/>
    </xf>
    <xf numFmtId="0" fontId="13" fillId="16" borderId="16" xfId="0" applyFont="1" applyFill="1" applyBorder="1" applyAlignment="1">
      <alignment horizontal="right" vertical="center"/>
    </xf>
    <xf numFmtId="0" fontId="14" fillId="16" borderId="16" xfId="0" applyFont="1" applyFill="1" applyBorder="1" applyAlignment="1">
      <alignment horizontal="center" vertical="center"/>
    </xf>
    <xf numFmtId="0" fontId="14" fillId="16" borderId="16" xfId="0" applyFont="1" applyFill="1" applyBorder="1" applyAlignment="1">
      <alignment horizontal="left" vertical="center"/>
    </xf>
    <xf numFmtId="0" fontId="14" fillId="16" borderId="16" xfId="0" applyFont="1" applyFill="1" applyBorder="1" applyAlignment="1">
      <alignment horizontal="right" vertical="center"/>
    </xf>
    <xf numFmtId="0" fontId="13" fillId="3" borderId="16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right" vertical="center"/>
    </xf>
    <xf numFmtId="0" fontId="14" fillId="3" borderId="16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right" vertical="center"/>
    </xf>
    <xf numFmtId="0" fontId="17" fillId="3" borderId="0" xfId="0" applyFont="1" applyFill="1" applyAlignment="1">
      <alignment horizontal="right" vertical="center"/>
    </xf>
    <xf numFmtId="0" fontId="20" fillId="3" borderId="20" xfId="0" applyFont="1" applyFill="1" applyBorder="1" applyAlignment="1">
      <alignment horizontal="center" vertical="center"/>
    </xf>
    <xf numFmtId="0" fontId="22" fillId="17" borderId="16" xfId="0" applyFont="1" applyFill="1" applyBorder="1" applyAlignment="1">
      <alignment horizontal="center" vertical="center"/>
    </xf>
    <xf numFmtId="0" fontId="14" fillId="13" borderId="16" xfId="0" applyFont="1" applyFill="1" applyBorder="1" applyAlignment="1">
      <alignment horizontal="center" vertical="center"/>
    </xf>
    <xf numFmtId="0" fontId="18" fillId="18" borderId="16" xfId="0" applyFont="1" applyFill="1" applyBorder="1" applyAlignment="1">
      <alignment horizontal="center" vertical="center"/>
    </xf>
    <xf numFmtId="0" fontId="23" fillId="19" borderId="21" xfId="0" applyFont="1" applyFill="1" applyBorder="1" applyAlignment="1">
      <alignment horizontal="center" vertical="center" wrapText="1"/>
    </xf>
    <xf numFmtId="0" fontId="24" fillId="16" borderId="0" xfId="0" applyFont="1" applyFill="1" applyAlignment="1">
      <alignment horizontal="center" vertical="center"/>
    </xf>
    <xf numFmtId="164" fontId="24" fillId="16" borderId="0" xfId="0" applyNumberFormat="1" applyFont="1" applyFill="1" applyAlignment="1">
      <alignment horizontal="center" vertical="center"/>
    </xf>
    <xf numFmtId="4" fontId="24" fillId="16" borderId="0" xfId="0" applyNumberFormat="1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center" vertical="center"/>
    </xf>
    <xf numFmtId="164" fontId="24" fillId="20" borderId="0" xfId="0" applyNumberFormat="1" applyFont="1" applyFill="1" applyAlignment="1">
      <alignment horizontal="center" vertical="center"/>
    </xf>
    <xf numFmtId="4" fontId="24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17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4" fillId="16" borderId="0" xfId="0" applyFont="1" applyFill="1" applyAlignment="1">
      <alignment horizontal="center"/>
    </xf>
    <xf numFmtId="3" fontId="24" fillId="16" borderId="0" xfId="0" applyNumberFormat="1" applyFont="1" applyFill="1" applyAlignment="1">
      <alignment horizontal="center"/>
    </xf>
    <xf numFmtId="165" fontId="24" fillId="16" borderId="0" xfId="0" applyNumberFormat="1" applyFont="1" applyFill="1" applyAlignment="1">
      <alignment horizontal="center"/>
    </xf>
    <xf numFmtId="0" fontId="24" fillId="3" borderId="0" xfId="0" applyFont="1" applyFill="1" applyAlignment="1">
      <alignment horizontal="center"/>
    </xf>
    <xf numFmtId="3" fontId="24" fillId="3" borderId="0" xfId="0" applyNumberFormat="1" applyFont="1" applyFill="1" applyAlignment="1">
      <alignment horizontal="center"/>
    </xf>
    <xf numFmtId="165" fontId="24" fillId="3" borderId="0" xfId="0" applyNumberFormat="1" applyFont="1" applyFill="1" applyAlignment="1">
      <alignment horizontal="center"/>
    </xf>
    <xf numFmtId="0" fontId="23" fillId="22" borderId="0" xfId="0" applyFont="1" applyFill="1" applyAlignment="1">
      <alignment horizontal="center"/>
    </xf>
    <xf numFmtId="3" fontId="23" fillId="22" borderId="0" xfId="0" applyNumberFormat="1" applyFont="1" applyFill="1" applyAlignment="1">
      <alignment horizontal="center"/>
    </xf>
    <xf numFmtId="165" fontId="23" fillId="22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 vertical="center" wrapText="1"/>
    </xf>
    <xf numFmtId="165" fontId="24" fillId="16" borderId="0" xfId="0" applyNumberFormat="1" applyFont="1" applyFill="1" applyAlignment="1">
      <alignment horizontal="center" vertical="center"/>
    </xf>
    <xf numFmtId="3" fontId="24" fillId="16" borderId="0" xfId="0" applyNumberFormat="1" applyFont="1" applyFill="1" applyAlignment="1">
      <alignment horizontal="center" vertical="center"/>
    </xf>
    <xf numFmtId="166" fontId="24" fillId="16" borderId="0" xfId="0" applyNumberFormat="1" applyFont="1" applyFill="1" applyAlignment="1">
      <alignment horizontal="center" vertical="center"/>
    </xf>
    <xf numFmtId="167" fontId="24" fillId="16" borderId="0" xfId="0" applyNumberFormat="1" applyFont="1" applyFill="1" applyAlignment="1">
      <alignment horizontal="center" vertical="center"/>
    </xf>
    <xf numFmtId="0" fontId="24" fillId="23" borderId="0" xfId="0" applyFont="1" applyFill="1" applyAlignment="1">
      <alignment horizontal="center" vertical="center"/>
    </xf>
    <xf numFmtId="165" fontId="24" fillId="23" borderId="0" xfId="0" applyNumberFormat="1" applyFont="1" applyFill="1" applyAlignment="1">
      <alignment horizontal="center" vertical="center"/>
    </xf>
    <xf numFmtId="3" fontId="24" fillId="23" borderId="0" xfId="0" applyNumberFormat="1" applyFont="1" applyFill="1" applyAlignment="1">
      <alignment horizontal="center" vertical="center"/>
    </xf>
    <xf numFmtId="166" fontId="24" fillId="23" borderId="0" xfId="0" applyNumberFormat="1" applyFont="1" applyFill="1" applyAlignment="1">
      <alignment horizontal="center" vertical="center"/>
    </xf>
    <xf numFmtId="167" fontId="24" fillId="23" borderId="0" xfId="0" applyNumberFormat="1" applyFont="1" applyFill="1" applyAlignment="1">
      <alignment horizontal="center" vertical="center"/>
    </xf>
    <xf numFmtId="167" fontId="23" fillId="22" borderId="0" xfId="0" applyNumberFormat="1" applyFont="1" applyFill="1" applyAlignment="1">
      <alignment horizontal="center"/>
    </xf>
    <xf numFmtId="0" fontId="30" fillId="24" borderId="0" xfId="0" applyFont="1" applyFill="1" applyAlignment="1">
      <alignment horizontal="center" vertical="center"/>
    </xf>
    <xf numFmtId="165" fontId="24" fillId="24" borderId="0" xfId="0" applyNumberFormat="1" applyFont="1" applyFill="1" applyAlignment="1">
      <alignment horizontal="center" vertical="center"/>
    </xf>
    <xf numFmtId="3" fontId="24" fillId="24" borderId="0" xfId="0" applyNumberFormat="1" applyFont="1" applyFill="1" applyAlignment="1">
      <alignment horizontal="center" vertical="center"/>
    </xf>
    <xf numFmtId="166" fontId="24" fillId="24" borderId="0" xfId="0" applyNumberFormat="1" applyFont="1" applyFill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165" fontId="24" fillId="15" borderId="0" xfId="0" applyNumberFormat="1" applyFont="1" applyFill="1" applyAlignment="1">
      <alignment horizontal="center" vertical="center"/>
    </xf>
    <xf numFmtId="3" fontId="24" fillId="15" borderId="0" xfId="0" applyNumberFormat="1" applyFont="1" applyFill="1" applyAlignment="1">
      <alignment horizontal="center" vertical="center"/>
    </xf>
    <xf numFmtId="167" fontId="24" fillId="15" borderId="0" xfId="0" applyNumberFormat="1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0" fontId="23" fillId="25" borderId="0" xfId="0" applyFont="1" applyFill="1" applyAlignment="1">
      <alignment horizontal="center" vertical="center" wrapText="1"/>
    </xf>
    <xf numFmtId="0" fontId="33" fillId="16" borderId="0" xfId="0" applyFont="1" applyFill="1" applyAlignment="1">
      <alignment horizontal="center" vertical="center"/>
    </xf>
    <xf numFmtId="4" fontId="33" fillId="16" borderId="0" xfId="0" applyNumberFormat="1" applyFont="1" applyFill="1" applyAlignment="1">
      <alignment horizontal="center" vertical="center"/>
    </xf>
    <xf numFmtId="165" fontId="33" fillId="16" borderId="0" xfId="0" applyNumberFormat="1" applyFont="1" applyFill="1" applyAlignment="1">
      <alignment horizontal="center" vertical="center"/>
    </xf>
    <xf numFmtId="164" fontId="33" fillId="16" borderId="0" xfId="0" applyNumberFormat="1" applyFont="1" applyFill="1" applyAlignment="1">
      <alignment horizontal="center" vertical="center"/>
    </xf>
    <xf numFmtId="3" fontId="26" fillId="26" borderId="0" xfId="0" applyNumberFormat="1" applyFont="1" applyFill="1" applyAlignment="1">
      <alignment horizontal="center" vertical="center"/>
    </xf>
    <xf numFmtId="0" fontId="33" fillId="13" borderId="0" xfId="0" applyFont="1" applyFill="1" applyAlignment="1">
      <alignment horizontal="center" vertical="center"/>
    </xf>
    <xf numFmtId="4" fontId="33" fillId="13" borderId="0" xfId="0" applyNumberFormat="1" applyFont="1" applyFill="1" applyAlignment="1">
      <alignment horizontal="center" vertical="center"/>
    </xf>
    <xf numFmtId="165" fontId="33" fillId="13" borderId="0" xfId="0" applyNumberFormat="1" applyFont="1" applyFill="1" applyAlignment="1">
      <alignment horizontal="center" vertical="center"/>
    </xf>
    <xf numFmtId="164" fontId="33" fillId="13" borderId="0" xfId="0" applyNumberFormat="1" applyFont="1" applyFill="1" applyAlignment="1">
      <alignment horizontal="center" vertical="center"/>
    </xf>
    <xf numFmtId="3" fontId="26" fillId="18" borderId="0" xfId="0" applyNumberFormat="1" applyFont="1" applyFill="1" applyAlignment="1">
      <alignment horizontal="center" vertical="center"/>
    </xf>
    <xf numFmtId="3" fontId="26" fillId="16" borderId="0" xfId="0" applyNumberFormat="1" applyFont="1" applyFill="1" applyAlignment="1">
      <alignment horizontal="center" vertical="center"/>
    </xf>
    <xf numFmtId="3" fontId="26" fillId="13" borderId="0" xfId="0" applyNumberFormat="1" applyFont="1" applyFill="1" applyAlignment="1">
      <alignment horizontal="center" vertical="center"/>
    </xf>
    <xf numFmtId="0" fontId="30" fillId="27" borderId="0" xfId="0" applyFont="1" applyFill="1"/>
    <xf numFmtId="0" fontId="24" fillId="27" borderId="0" xfId="0" applyFont="1" applyFill="1"/>
    <xf numFmtId="0" fontId="34" fillId="2" borderId="0" xfId="0" applyFont="1" applyFill="1"/>
    <xf numFmtId="168" fontId="24" fillId="16" borderId="0" xfId="0" applyNumberFormat="1" applyFont="1" applyFill="1" applyAlignment="1">
      <alignment horizontal="center" vertical="center"/>
    </xf>
    <xf numFmtId="168" fontId="24" fillId="15" borderId="0" xfId="0" applyNumberFormat="1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3" fontId="24" fillId="10" borderId="0" xfId="0" applyNumberFormat="1" applyFont="1" applyFill="1" applyAlignment="1">
      <alignment horizontal="center" vertical="center"/>
    </xf>
    <xf numFmtId="0" fontId="10" fillId="10" borderId="1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10" fillId="12" borderId="3" xfId="0" applyFont="1" applyFill="1" applyBorder="1" applyAlignment="1">
      <alignment horizontal="left" vertical="center"/>
    </xf>
    <xf numFmtId="0" fontId="10" fillId="13" borderId="4" xfId="0" applyFont="1" applyFill="1" applyBorder="1" applyAlignment="1">
      <alignment horizontal="left" vertical="center"/>
    </xf>
    <xf numFmtId="0" fontId="10" fillId="14" borderId="5" xfId="0" applyFont="1" applyFill="1" applyBorder="1" applyAlignment="1">
      <alignment horizontal="left" vertical="center"/>
    </xf>
    <xf numFmtId="0" fontId="10" fillId="15" borderId="6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3" fillId="16" borderId="16" xfId="0" applyFont="1" applyFill="1" applyBorder="1" applyAlignment="1">
      <alignment horizontal="left" vertical="center"/>
    </xf>
    <xf numFmtId="0" fontId="12" fillId="3" borderId="15" xfId="0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 vertical="center"/>
    </xf>
    <xf numFmtId="0" fontId="18" fillId="11" borderId="18" xfId="0" applyFont="1" applyFill="1" applyBorder="1" applyAlignment="1">
      <alignment horizontal="center" vertical="center"/>
    </xf>
    <xf numFmtId="0" fontId="19" fillId="3" borderId="19" xfId="0" applyFont="1" applyFill="1" applyBorder="1" applyAlignment="1">
      <alignment horizontal="left" vertical="center"/>
    </xf>
    <xf numFmtId="0" fontId="20" fillId="3" borderId="20" xfId="0" applyFont="1" applyFill="1" applyBorder="1" applyAlignment="1">
      <alignment horizontal="left" vertical="center"/>
    </xf>
    <xf numFmtId="0" fontId="20" fillId="3" borderId="20" xfId="0" applyFont="1" applyFill="1" applyBorder="1" applyAlignment="1">
      <alignment horizontal="right" vertical="center"/>
    </xf>
    <xf numFmtId="0" fontId="20" fillId="3" borderId="20" xfId="0" applyFont="1" applyFill="1" applyBorder="1" applyAlignment="1">
      <alignment horizontal="center" vertical="center"/>
    </xf>
    <xf numFmtId="0" fontId="14" fillId="16" borderId="16" xfId="0" applyFont="1" applyFill="1" applyBorder="1" applyAlignment="1">
      <alignment horizontal="left" vertical="center"/>
    </xf>
    <xf numFmtId="0" fontId="13" fillId="16" borderId="16" xfId="0" applyFont="1" applyFill="1" applyBorder="1" applyAlignment="1">
      <alignment horizontal="right" vertical="center"/>
    </xf>
    <xf numFmtId="0" fontId="14" fillId="16" borderId="16" xfId="0" applyFont="1" applyFill="1" applyBorder="1" applyAlignment="1">
      <alignment horizontal="center" vertical="center"/>
    </xf>
    <xf numFmtId="0" fontId="21" fillId="16" borderId="16" xfId="0" applyFont="1" applyFill="1" applyBorder="1" applyAlignment="1">
      <alignment horizontal="center" vertical="center"/>
    </xf>
    <xf numFmtId="0" fontId="14" fillId="13" borderId="16" xfId="0" applyFont="1" applyFill="1" applyBorder="1" applyAlignment="1">
      <alignment horizontal="left" vertical="center"/>
    </xf>
    <xf numFmtId="0" fontId="13" fillId="13" borderId="16" xfId="0" applyFont="1" applyFill="1" applyBorder="1" applyAlignment="1">
      <alignment horizontal="right" vertical="center"/>
    </xf>
    <xf numFmtId="0" fontId="14" fillId="13" borderId="16" xfId="0" applyFont="1" applyFill="1" applyBorder="1" applyAlignment="1">
      <alignment horizontal="center" vertical="center"/>
    </xf>
    <xf numFmtId="0" fontId="21" fillId="13" borderId="16" xfId="0" applyFont="1" applyFill="1" applyBorder="1" applyAlignment="1">
      <alignment horizontal="center" vertical="center"/>
    </xf>
    <xf numFmtId="0" fontId="29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2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EF4444"/>
      <rgbColor rgb="FFE2E8F0"/>
      <rgbColor rgb="FFF0FDFA"/>
      <rgbColor rgb="FFFEE2E2"/>
      <rgbColor rgb="FFFFF1F2"/>
      <rgbColor rgb="FF6EE7B7"/>
      <rgbColor rgb="FF7F1D1D"/>
      <rgbColor rgb="FFEDE9FE"/>
      <rgbColor rgb="FF334155"/>
      <rgbColor rgb="FFD09493"/>
      <rgbColor rgb="FFF5F3FF"/>
      <rgbColor rgb="FF065F46"/>
      <rgbColor rgb="FFB8CD97"/>
      <rgbColor rgb="FF888D7D"/>
      <rgbColor rgb="FFA99BBD"/>
      <rgbColor rgb="FFAB4744"/>
      <rgbColor rgb="FFFEF3C7"/>
      <rgbColor rgb="FFE0F2FE"/>
      <rgbColor rgb="FF3B0764"/>
      <rgbColor rgb="FFDC853E"/>
      <rgbColor rgb="FF1D4ED8"/>
      <rgbColor rgb="FFCBD5E1"/>
      <rgbColor rgb="FFF8FAFC"/>
      <rgbColor rgb="FFFEF2F2"/>
      <rgbColor rgb="FFFFF7ED"/>
      <rgbColor rgb="FF0EA5E9"/>
      <rgbColor rgb="FFF1F5F9"/>
      <rgbColor rgb="FFFAF5FF"/>
      <rgbColor rgb="FF10B981"/>
      <rgbColor rgb="FFF9F9F9"/>
      <rgbColor rgb="FF06B6D4"/>
      <rgbColor rgb="FFECFDF5"/>
      <rgbColor rgb="FFD1FAE5"/>
      <rgbColor rgb="FFFFFBEB"/>
      <rgbColor rgb="FFD5D7DB"/>
      <rgbColor rgb="FFFCA5A5"/>
      <rgbColor rgb="FFC4B5FD"/>
      <rgbColor rgb="FFFED7AA"/>
      <rgbColor rgb="FF8B5CF6"/>
      <rgbColor rgb="FF5EEAD4"/>
      <rgbColor rgb="FFD9D9D9"/>
      <rgbColor rgb="FFFCD34D"/>
      <rgbColor rgb="FFF59E0B"/>
      <rgbColor rgb="FFF97316"/>
      <rgbColor rgb="FF4A556B"/>
      <rgbColor rgb="FF94A3BB"/>
      <rgbColor rgb="FF134E4A"/>
      <rgbColor rgb="FF4884B2"/>
      <rgbColor rgb="FF0F172A"/>
      <rgbColor rgb="FF431407"/>
      <rgbColor rgb="FF92400E"/>
      <rgbColor rgb="FF78350F"/>
      <rgbColor rgb="FF4C1D95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Paid vs Pending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Summary'!$D$4</c:f>
              <c:strCache>
                <c:ptCount val="1"/>
                <c:pt idx="0">
                  <c:v>Paid (USD)</c:v>
                </c:pt>
              </c:strCache>
            </c:strRef>
          </c:tx>
          <c:spPr>
            <a:solidFill>
              <a:srgbClr val="10B98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VN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Summary'!$B$5:$B$9</c:f>
              <c:strCache>
                <c:ptCount val="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</c:strCache>
            </c:strRef>
          </c:cat>
          <c:val>
            <c:numRef>
              <c:f>'Monthly Summary'!$D$5:$D$9</c:f>
              <c:numCache>
                <c:formatCode>\$#,##0</c:formatCode>
                <c:ptCount val="5"/>
                <c:pt idx="0">
                  <c:v>121070.4626</c:v>
                </c:pt>
                <c:pt idx="1">
                  <c:v>399047.58760000003</c:v>
                </c:pt>
                <c:pt idx="2">
                  <c:v>201198.85620000001</c:v>
                </c:pt>
                <c:pt idx="3">
                  <c:v>131231.6054</c:v>
                </c:pt>
                <c:pt idx="4">
                  <c:v>122297.7978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0-D941-8EFF-8BF7C0821D93}"/>
            </c:ext>
          </c:extLst>
        </c:ser>
        <c:ser>
          <c:idx val="1"/>
          <c:order val="1"/>
          <c:tx>
            <c:strRef>
              <c:f>'Monthly Summary'!$E$4</c:f>
              <c:strCache>
                <c:ptCount val="1"/>
                <c:pt idx="0">
                  <c:v>Pending (USD)</c:v>
                </c:pt>
              </c:strCache>
            </c:strRef>
          </c:tx>
          <c:spPr>
            <a:solidFill>
              <a:srgbClr val="F59E0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VN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Summary'!$B$5:$B$9</c:f>
              <c:strCache>
                <c:ptCount val="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</c:strCache>
            </c:strRef>
          </c:cat>
          <c:val>
            <c:numRef>
              <c:f>'Monthly Summary'!$E$5:$E$9</c:f>
              <c:numCache>
                <c:formatCode>\$#,##0</c:formatCode>
                <c:ptCount val="5"/>
                <c:pt idx="0">
                  <c:v>59311.98</c:v>
                </c:pt>
                <c:pt idx="1">
                  <c:v>47244.219400000002</c:v>
                </c:pt>
                <c:pt idx="2">
                  <c:v>67545.477400000003</c:v>
                </c:pt>
                <c:pt idx="3">
                  <c:v>47117.792000000001</c:v>
                </c:pt>
                <c:pt idx="4">
                  <c:v>39763.927799999998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10-D941-8EFF-8BF7C0821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99521"/>
        <c:axId val="22583488"/>
      </c:barChart>
      <c:catAx>
        <c:axId val="430995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22583488"/>
        <c:crosses val="autoZero"/>
        <c:auto val="1"/>
        <c:lblAlgn val="ctr"/>
        <c:lblOffset val="100"/>
        <c:noMultiLvlLbl val="0"/>
      </c:catAx>
      <c:valAx>
        <c:axId val="225834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430995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VN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Spend by Vendor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90B4-D643-9F69-B6E0993B9061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90B4-D643-9F69-B6E0993B9061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90B4-D643-9F69-B6E0993B9061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90B4-D643-9F69-B6E0993B9061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90B4-D643-9F69-B6E0993B9061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90B4-D643-9F69-B6E0993B9061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90B4-D643-9F69-B6E0993B9061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90B4-D643-9F69-B6E0993B9061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1-90B4-D643-9F69-B6E0993B9061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3-90B4-D643-9F69-B6E0993B906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90B4-D643-9F69-B6E0993B906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90B4-D643-9F69-B6E0993B906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90B4-D643-9F69-B6E0993B9061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90B4-D643-9F69-B6E0993B9061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90B4-D643-9F69-B6E0993B9061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90B4-D643-9F69-B6E0993B9061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90B4-D643-9F69-B6E0993B9061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90B4-D643-9F69-B6E0993B9061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90B4-D643-9F69-B6E0993B9061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VN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3-90B4-D643-9F69-B6E0993B90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VN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'Vendor Analysis'!$B$5:$B$14</c:f>
              <c:strCache>
                <c:ptCount val="10"/>
                <c:pt idx="0">
                  <c:v>Shopee Ads</c:v>
                </c:pt>
                <c:pt idx="1">
                  <c:v>Hilton Hotels</c:v>
                </c:pt>
                <c:pt idx="2">
                  <c:v>Viettel Telecom</c:v>
                </c:pt>
                <c:pt idx="3">
                  <c:v>Vietnam Airlines</c:v>
                </c:pt>
                <c:pt idx="4">
                  <c:v>KPMG Vietnam</c:v>
                </c:pt>
                <c:pt idx="5">
                  <c:v>Meta Ads</c:v>
                </c:pt>
                <c:pt idx="6">
                  <c:v>AWS Singapore</c:v>
                </c:pt>
                <c:pt idx="7">
                  <c:v>Microsoft Asia</c:v>
                </c:pt>
                <c:pt idx="8">
                  <c:v>DHL Express</c:v>
                </c:pt>
                <c:pt idx="9">
                  <c:v>FPT Software</c:v>
                </c:pt>
              </c:strCache>
            </c:strRef>
          </c:cat>
          <c:val>
            <c:numRef>
              <c:f>'Vendor Analysis'!$D$5:$D$14</c:f>
              <c:numCache>
                <c:formatCode>\$#,##0</c:formatCode>
                <c:ptCount val="10"/>
                <c:pt idx="0">
                  <c:v>303660.03279999999</c:v>
                </c:pt>
                <c:pt idx="1">
                  <c:v>99450.532200000001</c:v>
                </c:pt>
                <c:pt idx="2">
                  <c:v>87698.672000000006</c:v>
                </c:pt>
                <c:pt idx="3">
                  <c:v>83404.195800000001</c:v>
                </c:pt>
                <c:pt idx="4">
                  <c:v>81188.824600000007</c:v>
                </c:pt>
                <c:pt idx="5">
                  <c:v>80416.533200000005</c:v>
                </c:pt>
                <c:pt idx="6">
                  <c:v>68806.52</c:v>
                </c:pt>
                <c:pt idx="7">
                  <c:v>61958.817600000002</c:v>
                </c:pt>
                <c:pt idx="8">
                  <c:v>58073.980799999998</c:v>
                </c:pt>
                <c:pt idx="9">
                  <c:v>50558.200599999996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0B4-D643-9F69-B6E0993B9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VN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Spend by Company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'Company Summary'!$C$3</c:f>
              <c:strCache>
                <c:ptCount val="1"/>
                <c:pt idx="0">
                  <c:v>Total Spend (USD)</c:v>
                </c:pt>
              </c:strCache>
            </c:strRef>
          </c:tx>
          <c:spPr>
            <a:solidFill>
              <a:srgbClr val="06B6D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VN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'Company Summary'!$B$4:$B$6</c:f>
              <c:strCache>
                <c:ptCount val="3"/>
                <c:pt idx="0">
                  <c:v>Bizzi Manufacturing</c:v>
                </c:pt>
                <c:pt idx="1">
                  <c:v>Bizzi Retail</c:v>
                </c:pt>
                <c:pt idx="2">
                  <c:v>Bizzi Tech</c:v>
                </c:pt>
              </c:strCache>
            </c:strRef>
          </c:cat>
          <c:val>
            <c:numRef>
              <c:f>'Company Summary'!$C$4:$C$6</c:f>
              <c:numCache>
                <c:formatCode>\$#,##0</c:formatCode>
                <c:ptCount val="3"/>
                <c:pt idx="0">
                  <c:v>521274.82760000002</c:v>
                </c:pt>
                <c:pt idx="1">
                  <c:v>258225.5104</c:v>
                </c:pt>
                <c:pt idx="2">
                  <c:v>195715.97159999999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09-BD49-B583-6CA4E6B97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09347"/>
        <c:axId val="96799859"/>
      </c:barChart>
      <c:catAx>
        <c:axId val="1340934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96799859"/>
        <c:crosses val="autoZero"/>
        <c:auto val="1"/>
        <c:lblAlgn val="ctr"/>
        <c:lblOffset val="100"/>
        <c:noMultiLvlLbl val="0"/>
      </c:catAx>
      <c:valAx>
        <c:axId val="9679985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134093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VN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Payment Timing Distribution</a:t>
            </a:r>
          </a:p>
        </c:rich>
      </c:tx>
      <c:layout>
        <c:manualLayout>
          <c:xMode val="edge"/>
          <c:yMode val="edge"/>
          <c:x val="0.32015658189333485"/>
          <c:y val="2.69607265007665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08728974108732E-2"/>
          <c:y val="0.14102724377874751"/>
          <c:w val="0.81773623629370229"/>
          <c:h val="0.798905295435782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'Payment Analysis'!$C$11</c:f>
              <c:strCache>
                <c:ptCount val="1"/>
                <c:pt idx="0">
                  <c:v># Invoices</c:v>
                </c:pt>
              </c:strCache>
            </c:strRef>
          </c:tx>
          <c:spPr>
            <a:solidFill>
              <a:srgbClr val="10B98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VN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'Payment Analysis'!$B$12:$B$17</c:f>
              <c:strCache>
                <c:ptCount val="6"/>
                <c:pt idx="0">
                  <c:v>0-7d</c:v>
                </c:pt>
                <c:pt idx="1">
                  <c:v>8-15d</c:v>
                </c:pt>
                <c:pt idx="2">
                  <c:v>16-30d</c:v>
                </c:pt>
                <c:pt idx="3">
                  <c:v>31-45d</c:v>
                </c:pt>
                <c:pt idx="4">
                  <c:v>46-60d</c:v>
                </c:pt>
                <c:pt idx="5">
                  <c:v>60d+</c:v>
                </c:pt>
              </c:strCache>
            </c:strRef>
          </c:cat>
          <c:val>
            <c:numRef>
              <c:f>'Payment Analysis'!$C$12:$C$17</c:f>
              <c:numCache>
                <c:formatCode>#,##0</c:formatCode>
                <c:ptCount val="6"/>
                <c:pt idx="0">
                  <c:v>16</c:v>
                </c:pt>
                <c:pt idx="1">
                  <c:v>17</c:v>
                </c:pt>
                <c:pt idx="2">
                  <c:v>37</c:v>
                </c:pt>
                <c:pt idx="3">
                  <c:v>43</c:v>
                </c:pt>
                <c:pt idx="4">
                  <c:v>36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28-FF4F-97C5-9431DEE97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29731"/>
        <c:axId val="8118306"/>
      </c:barChart>
      <c:catAx>
        <c:axId val="959297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8118306"/>
        <c:crosses val="autoZero"/>
        <c:auto val="1"/>
        <c:lblAlgn val="ctr"/>
        <c:lblOffset val="100"/>
        <c:noMultiLvlLbl val="0"/>
      </c:catAx>
      <c:valAx>
        <c:axId val="81183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VN"/>
          </a:p>
        </c:txPr>
        <c:crossAx val="959297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VN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50800</xdr:colOff>
      <xdr:row>12</xdr:row>
      <xdr:rowOff>76200</xdr:rowOff>
    </xdr:from>
    <xdr:to>
      <xdr:col>8</xdr:col>
      <xdr:colOff>269120</xdr:colOff>
      <xdr:row>34</xdr:row>
      <xdr:rowOff>153260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16</xdr:row>
      <xdr:rowOff>177800</xdr:rowOff>
    </xdr:from>
    <xdr:to>
      <xdr:col>6</xdr:col>
      <xdr:colOff>33760</xdr:colOff>
      <xdr:row>42</xdr:row>
      <xdr:rowOff>181200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6</xdr:col>
      <xdr:colOff>37800</xdr:colOff>
      <xdr:row>25</xdr:row>
      <xdr:rowOff>189000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139700</xdr:rowOff>
    </xdr:from>
    <xdr:to>
      <xdr:col>6</xdr:col>
      <xdr:colOff>8000</xdr:colOff>
      <xdr:row>40</xdr:row>
      <xdr:rowOff>188200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4ED8"/>
  </sheetPr>
  <dimension ref="A1:N60"/>
  <sheetViews>
    <sheetView showGridLines="0" tabSelected="1" zoomScaleNormal="100" workbookViewId="0">
      <selection activeCell="P6" sqref="P6"/>
    </sheetView>
  </sheetViews>
  <sheetFormatPr baseColWidth="10" defaultColWidth="8.6640625" defaultRowHeight="15" x14ac:dyDescent="0.2"/>
  <cols>
    <col min="1" max="1" width="1.5" customWidth="1"/>
    <col min="2" max="13" width="11.5" customWidth="1"/>
    <col min="14" max="14" width="1.5" customWidth="1"/>
  </cols>
  <sheetData>
    <row r="1" spans="1:14" ht="6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42" customHeight="1" x14ac:dyDescent="0.2">
      <c r="A2" s="15"/>
      <c r="B2" s="14" t="s">
        <v>0</v>
      </c>
      <c r="C2" s="14"/>
      <c r="D2" s="14"/>
      <c r="E2" s="14"/>
      <c r="F2" s="14"/>
      <c r="G2" s="14"/>
      <c r="H2" s="14"/>
      <c r="I2" s="13" t="s">
        <v>1</v>
      </c>
      <c r="J2" s="13"/>
      <c r="K2" s="13" t="s">
        <v>2</v>
      </c>
      <c r="L2" s="13"/>
      <c r="M2" s="13"/>
      <c r="N2" s="15"/>
    </row>
    <row r="3" spans="1:14" ht="6" customHeight="1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14" ht="7.5" customHeight="1" x14ac:dyDescent="0.2">
      <c r="A4" s="16"/>
      <c r="B4" s="17"/>
      <c r="C4" s="18"/>
      <c r="D4" s="19"/>
      <c r="E4" s="20"/>
      <c r="F4" s="21"/>
      <c r="G4" s="22"/>
      <c r="H4" s="23"/>
      <c r="I4" s="24"/>
      <c r="J4" s="25"/>
      <c r="K4" s="26"/>
      <c r="L4" s="27"/>
      <c r="M4" s="28"/>
      <c r="N4" s="16"/>
    </row>
    <row r="5" spans="1:14" ht="18" customHeight="1" x14ac:dyDescent="0.2">
      <c r="A5" s="16"/>
      <c r="B5" s="12" t="s">
        <v>3</v>
      </c>
      <c r="C5" s="12"/>
      <c r="D5" s="11" t="s">
        <v>4</v>
      </c>
      <c r="E5" s="11"/>
      <c r="F5" s="10" t="s">
        <v>5</v>
      </c>
      <c r="G5" s="10"/>
      <c r="H5" s="9" t="s">
        <v>6</v>
      </c>
      <c r="I5" s="9"/>
      <c r="J5" s="8" t="s">
        <v>7</v>
      </c>
      <c r="K5" s="8"/>
      <c r="L5" s="7" t="s">
        <v>8</v>
      </c>
      <c r="M5" s="7"/>
      <c r="N5" s="16"/>
    </row>
    <row r="6" spans="1:14" ht="37.5" customHeight="1" x14ac:dyDescent="0.2">
      <c r="A6" s="16"/>
      <c r="B6" s="6" t="s">
        <v>9</v>
      </c>
      <c r="C6" s="6"/>
      <c r="D6" s="5" t="s">
        <v>10</v>
      </c>
      <c r="E6" s="5"/>
      <c r="F6" s="4" t="s">
        <v>11</v>
      </c>
      <c r="G6" s="4"/>
      <c r="H6" s="3" t="s">
        <v>12</v>
      </c>
      <c r="I6" s="3"/>
      <c r="J6" s="2" t="s">
        <v>13</v>
      </c>
      <c r="K6" s="2"/>
      <c r="L6" s="1" t="s">
        <v>14</v>
      </c>
      <c r="M6" s="1"/>
      <c r="N6" s="16"/>
    </row>
    <row r="7" spans="1:14" ht="18" customHeight="1" x14ac:dyDescent="0.2">
      <c r="A7" s="16"/>
      <c r="B7" s="119" t="s">
        <v>15</v>
      </c>
      <c r="C7" s="119"/>
      <c r="D7" s="120" t="s">
        <v>16</v>
      </c>
      <c r="E7" s="120"/>
      <c r="F7" s="121" t="s">
        <v>17</v>
      </c>
      <c r="G7" s="121"/>
      <c r="H7" s="122" t="s">
        <v>18</v>
      </c>
      <c r="I7" s="122"/>
      <c r="J7" s="123" t="s">
        <v>19</v>
      </c>
      <c r="K7" s="123"/>
      <c r="L7" s="124" t="s">
        <v>20</v>
      </c>
      <c r="M7" s="124"/>
      <c r="N7" s="16"/>
    </row>
    <row r="8" spans="1:14" ht="4.5" customHeight="1" x14ac:dyDescent="0.2">
      <c r="A8" s="16"/>
      <c r="B8" s="29"/>
      <c r="C8" s="30"/>
      <c r="D8" s="31"/>
      <c r="E8" s="32"/>
      <c r="F8" s="33"/>
      <c r="G8" s="34"/>
      <c r="H8" s="35"/>
      <c r="I8" s="36"/>
      <c r="J8" s="37"/>
      <c r="K8" s="38"/>
      <c r="L8" s="39"/>
      <c r="M8" s="40"/>
      <c r="N8" s="16"/>
    </row>
    <row r="9" spans="1:14" ht="9.75" customHeight="1" x14ac:dyDescent="0.2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</row>
    <row r="10" spans="1:14" ht="21.75" customHeight="1" x14ac:dyDescent="0.2">
      <c r="A10" s="16"/>
      <c r="B10" s="125" t="s">
        <v>21</v>
      </c>
      <c r="C10" s="125"/>
      <c r="D10" s="125"/>
      <c r="E10" s="125"/>
      <c r="F10" s="125"/>
      <c r="G10" s="125"/>
      <c r="H10" s="125"/>
      <c r="I10" s="125" t="s">
        <v>22</v>
      </c>
      <c r="J10" s="125"/>
      <c r="K10" s="125"/>
      <c r="L10" s="125"/>
      <c r="M10" s="125"/>
      <c r="N10" s="16"/>
    </row>
    <row r="11" spans="1:14" ht="21.75" customHeight="1" x14ac:dyDescent="0.2">
      <c r="A11" s="16"/>
      <c r="B11" s="41" t="s">
        <v>23</v>
      </c>
      <c r="C11" s="41" t="s">
        <v>24</v>
      </c>
      <c r="D11" s="42" t="s">
        <v>25</v>
      </c>
      <c r="E11" s="43" t="s">
        <v>26</v>
      </c>
      <c r="F11" s="42" t="s">
        <v>27</v>
      </c>
      <c r="G11" s="43" t="s">
        <v>28</v>
      </c>
      <c r="H11" s="16"/>
      <c r="I11" s="126" t="s">
        <v>29</v>
      </c>
      <c r="J11" s="126"/>
      <c r="K11" s="126"/>
      <c r="L11" s="45" t="s">
        <v>30</v>
      </c>
      <c r="M11" s="46" t="s">
        <v>31</v>
      </c>
      <c r="N11" s="16"/>
    </row>
    <row r="12" spans="1:14" ht="21.75" customHeight="1" x14ac:dyDescent="0.2">
      <c r="A12" s="16"/>
      <c r="B12" s="44" t="s">
        <v>32</v>
      </c>
      <c r="C12" s="47" t="s">
        <v>33</v>
      </c>
      <c r="D12" s="48" t="s">
        <v>34</v>
      </c>
      <c r="E12" s="46">
        <v>13</v>
      </c>
      <c r="F12" s="48" t="s">
        <v>35</v>
      </c>
      <c r="G12" s="46" t="s">
        <v>36</v>
      </c>
      <c r="H12" s="16"/>
      <c r="I12" s="126" t="s">
        <v>37</v>
      </c>
      <c r="J12" s="126"/>
      <c r="K12" s="126"/>
      <c r="L12" s="45" t="s">
        <v>38</v>
      </c>
      <c r="M12" s="46" t="s">
        <v>39</v>
      </c>
      <c r="N12" s="16"/>
    </row>
    <row r="13" spans="1:14" ht="21.75" customHeight="1" x14ac:dyDescent="0.2">
      <c r="A13" s="16"/>
      <c r="B13" s="49" t="s">
        <v>40</v>
      </c>
      <c r="C13" s="50" t="s">
        <v>41</v>
      </c>
      <c r="D13" s="51" t="s">
        <v>42</v>
      </c>
      <c r="E13" s="52">
        <v>20</v>
      </c>
      <c r="F13" s="51" t="s">
        <v>43</v>
      </c>
      <c r="G13" s="52" t="s">
        <v>44</v>
      </c>
      <c r="H13" s="16"/>
      <c r="I13" s="126" t="s">
        <v>45</v>
      </c>
      <c r="J13" s="126"/>
      <c r="K13" s="126"/>
      <c r="L13" s="45" t="s">
        <v>46</v>
      </c>
      <c r="M13" s="46" t="s">
        <v>47</v>
      </c>
      <c r="N13" s="16"/>
    </row>
    <row r="14" spans="1:14" ht="18.75" customHeight="1" x14ac:dyDescent="0.2">
      <c r="A14" s="16"/>
      <c r="B14" s="44" t="s">
        <v>48</v>
      </c>
      <c r="C14" s="47" t="s">
        <v>49</v>
      </c>
      <c r="D14" s="48" t="s">
        <v>50</v>
      </c>
      <c r="E14" s="46">
        <v>15</v>
      </c>
      <c r="F14" s="48" t="s">
        <v>51</v>
      </c>
      <c r="G14" s="46" t="s">
        <v>52</v>
      </c>
      <c r="H14" s="16"/>
      <c r="I14" s="16"/>
      <c r="J14" s="16"/>
      <c r="K14" s="16"/>
      <c r="L14" s="16"/>
      <c r="M14" s="16"/>
      <c r="N14" s="16"/>
    </row>
    <row r="15" spans="1:14" ht="18.75" customHeight="1" x14ac:dyDescent="0.2">
      <c r="A15" s="16"/>
      <c r="B15" s="49" t="s">
        <v>53</v>
      </c>
      <c r="C15" s="50" t="s">
        <v>41</v>
      </c>
      <c r="D15" s="51" t="s">
        <v>54</v>
      </c>
      <c r="E15" s="52">
        <v>17</v>
      </c>
      <c r="F15" s="51" t="s">
        <v>55</v>
      </c>
      <c r="G15" s="52" t="s">
        <v>56</v>
      </c>
      <c r="H15" s="16"/>
      <c r="I15" s="16"/>
      <c r="J15" s="16"/>
      <c r="K15" s="16"/>
      <c r="L15" s="16"/>
      <c r="M15" s="16"/>
      <c r="N15" s="16"/>
    </row>
    <row r="16" spans="1:14" ht="18.75" customHeight="1" x14ac:dyDescent="0.2">
      <c r="A16" s="16"/>
      <c r="B16" s="44" t="s">
        <v>57</v>
      </c>
      <c r="C16" s="47" t="s">
        <v>58</v>
      </c>
      <c r="D16" s="48" t="s">
        <v>59</v>
      </c>
      <c r="E16" s="46">
        <v>16</v>
      </c>
      <c r="F16" s="48" t="s">
        <v>60</v>
      </c>
      <c r="G16" s="46" t="s">
        <v>61</v>
      </c>
      <c r="H16" s="16"/>
      <c r="I16" s="16"/>
      <c r="J16" s="16"/>
      <c r="K16" s="16"/>
      <c r="L16" s="16"/>
      <c r="M16" s="16"/>
      <c r="N16" s="16"/>
    </row>
    <row r="17" spans="1:14" ht="18.75" customHeight="1" x14ac:dyDescent="0.2">
      <c r="A17" s="16"/>
      <c r="B17" s="49" t="s">
        <v>62</v>
      </c>
      <c r="C17" s="50" t="s">
        <v>33</v>
      </c>
      <c r="D17" s="51" t="s">
        <v>63</v>
      </c>
      <c r="E17" s="52">
        <v>16</v>
      </c>
      <c r="F17" s="51" t="s">
        <v>64</v>
      </c>
      <c r="G17" s="52" t="s">
        <v>65</v>
      </c>
      <c r="H17" s="16"/>
      <c r="I17" s="16"/>
      <c r="J17" s="16"/>
      <c r="K17" s="16"/>
      <c r="L17" s="16"/>
      <c r="M17" s="16"/>
      <c r="N17" s="16"/>
    </row>
    <row r="18" spans="1:14" ht="15.75" customHeight="1" x14ac:dyDescent="0.2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</row>
    <row r="19" spans="1:14" ht="15.75" customHeight="1" x14ac:dyDescent="0.2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</row>
    <row r="20" spans="1:14" ht="15.75" customHeight="1" x14ac:dyDescent="0.2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</row>
    <row r="21" spans="1:14" ht="9.75" customHeight="1" x14ac:dyDescent="0.2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21.75" customHeight="1" x14ac:dyDescent="0.2">
      <c r="A22" s="16"/>
      <c r="B22" s="125" t="s">
        <v>66</v>
      </c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6"/>
    </row>
    <row r="23" spans="1:14" ht="18" customHeight="1" x14ac:dyDescent="0.2">
      <c r="A23" s="16"/>
      <c r="B23" s="16"/>
      <c r="C23" s="127" t="s">
        <v>67</v>
      </c>
      <c r="D23" s="127"/>
      <c r="E23" s="127" t="s">
        <v>68</v>
      </c>
      <c r="F23" s="127"/>
      <c r="G23" s="127" t="s">
        <v>69</v>
      </c>
      <c r="H23" s="127"/>
      <c r="I23" s="127" t="s">
        <v>70</v>
      </c>
      <c r="J23" s="127"/>
      <c r="K23" s="127" t="s">
        <v>71</v>
      </c>
      <c r="L23" s="127"/>
      <c r="M23" s="16"/>
      <c r="N23" s="16"/>
    </row>
    <row r="24" spans="1:14" ht="19.5" customHeight="1" x14ac:dyDescent="0.2">
      <c r="A24" s="16"/>
      <c r="B24" s="53" t="s">
        <v>72</v>
      </c>
      <c r="C24" s="128" t="s">
        <v>73</v>
      </c>
      <c r="D24" s="128"/>
      <c r="E24" s="128" t="s">
        <v>74</v>
      </c>
      <c r="F24" s="128"/>
      <c r="G24" s="128" t="s">
        <v>75</v>
      </c>
      <c r="H24" s="128"/>
      <c r="I24" s="128" t="s">
        <v>76</v>
      </c>
      <c r="J24" s="128"/>
      <c r="K24" s="128" t="s">
        <v>77</v>
      </c>
      <c r="L24" s="128"/>
      <c r="M24" s="16"/>
      <c r="N24" s="16"/>
    </row>
    <row r="25" spans="1:14" ht="19.5" customHeight="1" x14ac:dyDescent="0.2">
      <c r="A25" s="16"/>
      <c r="B25" s="54" t="s">
        <v>78</v>
      </c>
      <c r="C25" s="129" t="s">
        <v>79</v>
      </c>
      <c r="D25" s="129"/>
      <c r="E25" s="129" t="s">
        <v>80</v>
      </c>
      <c r="F25" s="129"/>
      <c r="G25" s="129" t="s">
        <v>81</v>
      </c>
      <c r="H25" s="129"/>
      <c r="I25" s="129" t="s">
        <v>82</v>
      </c>
      <c r="J25" s="129"/>
      <c r="K25" s="129" t="s">
        <v>83</v>
      </c>
      <c r="L25" s="129"/>
      <c r="M25" s="16"/>
      <c r="N25" s="16"/>
    </row>
    <row r="26" spans="1:14" ht="9.75" customHeight="1" x14ac:dyDescent="0.2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spans="1:14" ht="9.75" customHeight="1" x14ac:dyDescent="0.2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4" ht="21.75" customHeight="1" x14ac:dyDescent="0.2">
      <c r="A28" s="16"/>
      <c r="B28" s="130" t="s">
        <v>84</v>
      </c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6"/>
    </row>
    <row r="29" spans="1:14" ht="18" customHeight="1" x14ac:dyDescent="0.2">
      <c r="A29" s="16"/>
      <c r="B29" s="55" t="s">
        <v>85</v>
      </c>
      <c r="C29" s="131" t="s">
        <v>86</v>
      </c>
      <c r="D29" s="131"/>
      <c r="E29" s="131" t="s">
        <v>23</v>
      </c>
      <c r="F29" s="131"/>
      <c r="G29" s="132" t="s">
        <v>87</v>
      </c>
      <c r="H29" s="132"/>
      <c r="I29" s="133" t="s">
        <v>88</v>
      </c>
      <c r="J29" s="133"/>
      <c r="K29" s="133" t="s">
        <v>89</v>
      </c>
      <c r="L29" s="133"/>
      <c r="M29" s="55" t="s">
        <v>90</v>
      </c>
      <c r="N29" s="16"/>
    </row>
    <row r="30" spans="1:14" ht="18" customHeight="1" x14ac:dyDescent="0.2">
      <c r="A30" s="16"/>
      <c r="B30" s="46" t="s">
        <v>91</v>
      </c>
      <c r="C30" s="134" t="s">
        <v>37</v>
      </c>
      <c r="D30" s="134"/>
      <c r="E30" s="134" t="s">
        <v>53</v>
      </c>
      <c r="F30" s="134"/>
      <c r="G30" s="135" t="s">
        <v>92</v>
      </c>
      <c r="H30" s="135"/>
      <c r="I30" s="136" t="s">
        <v>93</v>
      </c>
      <c r="J30" s="136"/>
      <c r="K30" s="137" t="s">
        <v>94</v>
      </c>
      <c r="L30" s="137"/>
      <c r="M30" s="56" t="s">
        <v>95</v>
      </c>
      <c r="N30" s="16"/>
    </row>
    <row r="31" spans="1:14" ht="18" customHeight="1" x14ac:dyDescent="0.2">
      <c r="A31" s="16"/>
      <c r="B31" s="57" t="s">
        <v>96</v>
      </c>
      <c r="C31" s="138" t="s">
        <v>29</v>
      </c>
      <c r="D31" s="138"/>
      <c r="E31" s="138" t="s">
        <v>32</v>
      </c>
      <c r="F31" s="138"/>
      <c r="G31" s="139" t="s">
        <v>97</v>
      </c>
      <c r="H31" s="139"/>
      <c r="I31" s="140" t="s">
        <v>98</v>
      </c>
      <c r="J31" s="140"/>
      <c r="K31" s="141" t="s">
        <v>99</v>
      </c>
      <c r="L31" s="141"/>
      <c r="M31" s="58" t="s">
        <v>100</v>
      </c>
      <c r="N31" s="16"/>
    </row>
    <row r="32" spans="1:14" ht="18" customHeight="1" x14ac:dyDescent="0.2">
      <c r="A32" s="16"/>
      <c r="B32" s="46" t="s">
        <v>101</v>
      </c>
      <c r="C32" s="134" t="s">
        <v>29</v>
      </c>
      <c r="D32" s="134"/>
      <c r="E32" s="134" t="s">
        <v>40</v>
      </c>
      <c r="F32" s="134"/>
      <c r="G32" s="135" t="s">
        <v>102</v>
      </c>
      <c r="H32" s="135"/>
      <c r="I32" s="136" t="s">
        <v>103</v>
      </c>
      <c r="J32" s="136"/>
      <c r="K32" s="137" t="s">
        <v>104</v>
      </c>
      <c r="L32" s="137"/>
      <c r="M32" s="56" t="s">
        <v>95</v>
      </c>
      <c r="N32" s="16"/>
    </row>
    <row r="33" spans="1:14" ht="18" customHeight="1" x14ac:dyDescent="0.2">
      <c r="A33" s="16"/>
      <c r="B33" s="57" t="s">
        <v>105</v>
      </c>
      <c r="C33" s="138" t="s">
        <v>45</v>
      </c>
      <c r="D33" s="138"/>
      <c r="E33" s="138" t="s">
        <v>62</v>
      </c>
      <c r="F33" s="138"/>
      <c r="G33" s="139" t="s">
        <v>106</v>
      </c>
      <c r="H33" s="139"/>
      <c r="I33" s="140" t="s">
        <v>107</v>
      </c>
      <c r="J33" s="140"/>
      <c r="K33" s="141" t="s">
        <v>108</v>
      </c>
      <c r="L33" s="141"/>
      <c r="M33" s="58" t="s">
        <v>100</v>
      </c>
      <c r="N33" s="16"/>
    </row>
    <row r="34" spans="1:14" ht="18" customHeight="1" x14ac:dyDescent="0.2">
      <c r="A34" s="16"/>
      <c r="B34" s="46" t="s">
        <v>109</v>
      </c>
      <c r="C34" s="134" t="s">
        <v>37</v>
      </c>
      <c r="D34" s="134"/>
      <c r="E34" s="134" t="s">
        <v>32</v>
      </c>
      <c r="F34" s="134"/>
      <c r="G34" s="135" t="s">
        <v>110</v>
      </c>
      <c r="H34" s="135"/>
      <c r="I34" s="136" t="s">
        <v>111</v>
      </c>
      <c r="J34" s="136"/>
      <c r="K34" s="137" t="s">
        <v>112</v>
      </c>
      <c r="L34" s="137"/>
      <c r="M34" s="56" t="s">
        <v>95</v>
      </c>
      <c r="N34" s="16"/>
    </row>
    <row r="35" spans="1:14" ht="18" customHeight="1" x14ac:dyDescent="0.2">
      <c r="A35" s="16"/>
      <c r="B35" s="57" t="s">
        <v>113</v>
      </c>
      <c r="C35" s="138" t="s">
        <v>45</v>
      </c>
      <c r="D35" s="138"/>
      <c r="E35" s="138" t="s">
        <v>48</v>
      </c>
      <c r="F35" s="138"/>
      <c r="G35" s="139" t="s">
        <v>114</v>
      </c>
      <c r="H35" s="139"/>
      <c r="I35" s="140" t="s">
        <v>115</v>
      </c>
      <c r="J35" s="140"/>
      <c r="K35" s="141" t="s">
        <v>116</v>
      </c>
      <c r="L35" s="141"/>
      <c r="M35" s="58" t="s">
        <v>100</v>
      </c>
      <c r="N35" s="16"/>
    </row>
    <row r="36" spans="1:14" ht="18" customHeight="1" x14ac:dyDescent="0.2">
      <c r="A36" s="16"/>
      <c r="B36" s="46" t="s">
        <v>117</v>
      </c>
      <c r="C36" s="134" t="s">
        <v>45</v>
      </c>
      <c r="D36" s="134"/>
      <c r="E36" s="134" t="s">
        <v>32</v>
      </c>
      <c r="F36" s="134"/>
      <c r="G36" s="135" t="s">
        <v>118</v>
      </c>
      <c r="H36" s="135"/>
      <c r="I36" s="136" t="s">
        <v>119</v>
      </c>
      <c r="J36" s="136"/>
      <c r="K36" s="137" t="s">
        <v>120</v>
      </c>
      <c r="L36" s="137"/>
      <c r="M36" s="58" t="s">
        <v>100</v>
      </c>
      <c r="N36" s="16"/>
    </row>
    <row r="37" spans="1:14" ht="18" customHeight="1" x14ac:dyDescent="0.2">
      <c r="A37" s="16"/>
      <c r="B37" s="57" t="s">
        <v>121</v>
      </c>
      <c r="C37" s="138" t="s">
        <v>37</v>
      </c>
      <c r="D37" s="138"/>
      <c r="E37" s="138" t="s">
        <v>122</v>
      </c>
      <c r="F37" s="138"/>
      <c r="G37" s="139" t="s">
        <v>123</v>
      </c>
      <c r="H37" s="139"/>
      <c r="I37" s="140" t="s">
        <v>124</v>
      </c>
      <c r="J37" s="140"/>
      <c r="K37" s="141" t="s">
        <v>125</v>
      </c>
      <c r="L37" s="141"/>
      <c r="M37" s="58" t="s">
        <v>100</v>
      </c>
      <c r="N37" s="16"/>
    </row>
    <row r="38" spans="1:14" ht="9.75" customHeight="1" x14ac:dyDescent="0.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</row>
    <row r="39" spans="1:14" ht="7.5" customHeight="1" x14ac:dyDescent="0.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</row>
    <row r="40" spans="1:14" ht="15.75" customHeight="1" x14ac:dyDescent="0.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</row>
    <row r="41" spans="1:14" ht="15.75" customHeight="1" x14ac:dyDescent="0.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</row>
    <row r="42" spans="1:14" ht="15.75" customHeight="1" x14ac:dyDescent="0.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</row>
    <row r="43" spans="1:14" ht="15.75" customHeight="1" x14ac:dyDescent="0.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14" ht="15.75" customHeight="1" x14ac:dyDescent="0.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</row>
    <row r="45" spans="1:14" ht="15.75" customHeight="1" x14ac:dyDescent="0.2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</row>
    <row r="46" spans="1:14" ht="15.75" customHeight="1" x14ac:dyDescent="0.2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</row>
    <row r="47" spans="1:14" ht="15.75" customHeight="1" x14ac:dyDescent="0.2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</row>
    <row r="48" spans="1:14" ht="15.75" customHeight="1" x14ac:dyDescent="0.2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</row>
    <row r="49" spans="1:14" ht="15.75" customHeight="1" x14ac:dyDescent="0.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</row>
    <row r="50" spans="1:14" ht="15.75" customHeight="1" x14ac:dyDescent="0.2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</row>
    <row r="51" spans="1:14" ht="15.75" customHeight="1" x14ac:dyDescent="0.2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</row>
    <row r="52" spans="1:14" ht="15.75" customHeight="1" x14ac:dyDescent="0.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</row>
    <row r="53" spans="1:14" ht="15.75" customHeight="1" x14ac:dyDescent="0.2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1:14" ht="15.75" customHeight="1" x14ac:dyDescent="0.2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  <row r="55" spans="1:14" ht="15.75" customHeight="1" x14ac:dyDescent="0.2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</row>
    <row r="56" spans="1:14" ht="15.75" customHeight="1" x14ac:dyDescent="0.2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</row>
    <row r="57" spans="1:14" ht="15.75" customHeight="1" x14ac:dyDescent="0.2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</row>
    <row r="58" spans="1:14" ht="15.75" customHeight="1" x14ac:dyDescent="0.2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</row>
    <row r="59" spans="1:14" ht="15.75" customHeight="1" x14ac:dyDescent="0.2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</row>
    <row r="60" spans="1:14" ht="15.75" customHeight="1" x14ac:dyDescent="0.2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</row>
  </sheetData>
  <mergeCells count="88">
    <mergeCell ref="C37:D37"/>
    <mergeCell ref="E37:F37"/>
    <mergeCell ref="G37:H37"/>
    <mergeCell ref="I37:J37"/>
    <mergeCell ref="K37:L37"/>
    <mergeCell ref="C36:D36"/>
    <mergeCell ref="E36:F36"/>
    <mergeCell ref="G36:H36"/>
    <mergeCell ref="I36:J36"/>
    <mergeCell ref="K36:L36"/>
    <mergeCell ref="C35:D35"/>
    <mergeCell ref="E35:F35"/>
    <mergeCell ref="G35:H35"/>
    <mergeCell ref="I35:J35"/>
    <mergeCell ref="K35:L35"/>
    <mergeCell ref="C34:D34"/>
    <mergeCell ref="E34:F34"/>
    <mergeCell ref="G34:H34"/>
    <mergeCell ref="I34:J34"/>
    <mergeCell ref="K34:L34"/>
    <mergeCell ref="C33:D33"/>
    <mergeCell ref="E33:F33"/>
    <mergeCell ref="G33:H33"/>
    <mergeCell ref="I33:J33"/>
    <mergeCell ref="K33:L33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C30:D30"/>
    <mergeCell ref="E30:F30"/>
    <mergeCell ref="G30:H30"/>
    <mergeCell ref="I30:J30"/>
    <mergeCell ref="K30:L30"/>
    <mergeCell ref="B28:M28"/>
    <mergeCell ref="C29:D29"/>
    <mergeCell ref="E29:F29"/>
    <mergeCell ref="G29:H29"/>
    <mergeCell ref="I29:J29"/>
    <mergeCell ref="K29:L29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B22:M22"/>
    <mergeCell ref="C23:D23"/>
    <mergeCell ref="E23:F23"/>
    <mergeCell ref="G23:H23"/>
    <mergeCell ref="I23:J23"/>
    <mergeCell ref="K23:L23"/>
    <mergeCell ref="B10:H10"/>
    <mergeCell ref="I10:M10"/>
    <mergeCell ref="I11:K11"/>
    <mergeCell ref="I12:K12"/>
    <mergeCell ref="I13:K13"/>
    <mergeCell ref="L6:M6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B2:H2"/>
    <mergeCell ref="I2:J2"/>
    <mergeCell ref="K2:M2"/>
    <mergeCell ref="B5:C5"/>
    <mergeCell ref="D5:E5"/>
    <mergeCell ref="F5:G5"/>
    <mergeCell ref="H5:I5"/>
    <mergeCell ref="J5:K5"/>
    <mergeCell ref="L5:M5"/>
  </mergeCells>
  <pageMargins left="0.75" right="0.75" top="1" bottom="1" header="0.511811023622047" footer="0.511811023622047"/>
  <pageSetup paperSize="9" orientation="portrait" horizontalDpi="300" verticalDpi="300"/>
  <ignoredErrors>
    <ignoredError sqref="J6 H6 L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0B981"/>
  </sheetPr>
  <dimension ref="A1:M203"/>
  <sheetViews>
    <sheetView showGridLines="0" zoomScaleNormal="100" workbookViewId="0">
      <pane ySplit="2" topLeftCell="A3" activePane="bottomLeft" state="frozen"/>
      <selection pane="bottomLeft" activeCell="G34" sqref="G34"/>
    </sheetView>
  </sheetViews>
  <sheetFormatPr baseColWidth="10" defaultColWidth="8.6640625" defaultRowHeight="15" x14ac:dyDescent="0.2"/>
  <cols>
    <col min="1" max="1" width="12" customWidth="1"/>
    <col min="2" max="2" width="22" customWidth="1"/>
    <col min="3" max="3" width="20" customWidth="1"/>
    <col min="4" max="4" width="16" customWidth="1"/>
    <col min="5" max="7" width="14" customWidth="1"/>
    <col min="8" max="8" width="16" customWidth="1"/>
    <col min="9" max="9" width="10" customWidth="1"/>
    <col min="10" max="10" width="16" customWidth="1"/>
    <col min="11" max="11" width="12" customWidth="1"/>
    <col min="12" max="12" width="14" customWidth="1"/>
  </cols>
  <sheetData>
    <row r="1" spans="1:13" ht="7.5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31.5" customHeight="1" x14ac:dyDescent="0.2">
      <c r="A2" s="59" t="s">
        <v>126</v>
      </c>
      <c r="B2" s="59" t="s">
        <v>86</v>
      </c>
      <c r="C2" s="59" t="s">
        <v>23</v>
      </c>
      <c r="D2" s="59" t="s">
        <v>24</v>
      </c>
      <c r="E2" s="59" t="s">
        <v>127</v>
      </c>
      <c r="F2" s="59" t="s">
        <v>88</v>
      </c>
      <c r="G2" s="59" t="s">
        <v>128</v>
      </c>
      <c r="H2" s="59" t="s">
        <v>129</v>
      </c>
      <c r="I2" s="59" t="s">
        <v>130</v>
      </c>
      <c r="J2" s="59" t="s">
        <v>87</v>
      </c>
      <c r="K2" s="59" t="s">
        <v>90</v>
      </c>
      <c r="L2" s="59" t="s">
        <v>131</v>
      </c>
    </row>
    <row r="3" spans="1:13" ht="18" customHeight="1" x14ac:dyDescent="0.2">
      <c r="A3" s="60">
        <v>1</v>
      </c>
      <c r="B3" s="60" t="s">
        <v>37</v>
      </c>
      <c r="C3" s="60" t="s">
        <v>122</v>
      </c>
      <c r="D3" s="60" t="s">
        <v>132</v>
      </c>
      <c r="E3" s="61">
        <v>45680</v>
      </c>
      <c r="F3" s="61">
        <v>45713</v>
      </c>
      <c r="G3" s="60"/>
      <c r="H3" s="62">
        <v>3915.42</v>
      </c>
      <c r="I3" s="60" t="s">
        <v>133</v>
      </c>
      <c r="J3" s="62">
        <v>3915.42</v>
      </c>
      <c r="K3" s="63" t="s">
        <v>100</v>
      </c>
      <c r="L3" s="60"/>
    </row>
    <row r="4" spans="1:13" ht="18" customHeight="1" x14ac:dyDescent="0.2">
      <c r="A4" s="64">
        <v>2</v>
      </c>
      <c r="B4" s="64" t="s">
        <v>29</v>
      </c>
      <c r="C4" s="64" t="s">
        <v>134</v>
      </c>
      <c r="D4" s="64" t="s">
        <v>135</v>
      </c>
      <c r="E4" s="65">
        <v>45698</v>
      </c>
      <c r="F4" s="65">
        <v>45729</v>
      </c>
      <c r="G4" s="65">
        <v>45744</v>
      </c>
      <c r="H4" s="66">
        <v>2602.6</v>
      </c>
      <c r="I4" s="64" t="s">
        <v>133</v>
      </c>
      <c r="J4" s="66">
        <v>2602.6</v>
      </c>
      <c r="K4" s="67" t="s">
        <v>72</v>
      </c>
      <c r="L4" s="64">
        <v>46</v>
      </c>
    </row>
    <row r="5" spans="1:13" ht="18" customHeight="1" x14ac:dyDescent="0.2">
      <c r="A5" s="60">
        <v>3</v>
      </c>
      <c r="B5" s="60" t="s">
        <v>29</v>
      </c>
      <c r="C5" s="60" t="s">
        <v>48</v>
      </c>
      <c r="D5" s="60" t="s">
        <v>49</v>
      </c>
      <c r="E5" s="61">
        <v>45754</v>
      </c>
      <c r="F5" s="61">
        <v>45784</v>
      </c>
      <c r="G5" s="61">
        <v>45778</v>
      </c>
      <c r="H5" s="62">
        <v>1199.96</v>
      </c>
      <c r="I5" s="60" t="s">
        <v>133</v>
      </c>
      <c r="J5" s="62">
        <v>1199.96</v>
      </c>
      <c r="K5" s="67" t="s">
        <v>72</v>
      </c>
      <c r="L5" s="60">
        <v>24</v>
      </c>
    </row>
    <row r="6" spans="1:13" ht="18" customHeight="1" x14ac:dyDescent="0.2">
      <c r="A6" s="64">
        <v>4</v>
      </c>
      <c r="B6" s="64" t="s">
        <v>37</v>
      </c>
      <c r="C6" s="64" t="s">
        <v>136</v>
      </c>
      <c r="D6" s="64" t="s">
        <v>137</v>
      </c>
      <c r="E6" s="65">
        <v>45690</v>
      </c>
      <c r="F6" s="65">
        <v>45735</v>
      </c>
      <c r="G6" s="65">
        <v>45726</v>
      </c>
      <c r="H6" s="66">
        <v>4873.8500000000004</v>
      </c>
      <c r="I6" s="64" t="s">
        <v>138</v>
      </c>
      <c r="J6" s="66">
        <v>3606.6489999999999</v>
      </c>
      <c r="K6" s="67" t="s">
        <v>72</v>
      </c>
      <c r="L6" s="64">
        <v>36</v>
      </c>
    </row>
    <row r="7" spans="1:13" ht="18" customHeight="1" x14ac:dyDescent="0.2">
      <c r="A7" s="60">
        <v>5</v>
      </c>
      <c r="B7" s="60" t="s">
        <v>37</v>
      </c>
      <c r="C7" s="60" t="s">
        <v>122</v>
      </c>
      <c r="D7" s="60" t="s">
        <v>132</v>
      </c>
      <c r="E7" s="61">
        <v>45745</v>
      </c>
      <c r="F7" s="61">
        <v>45778</v>
      </c>
      <c r="G7" s="61">
        <v>45787</v>
      </c>
      <c r="H7" s="62">
        <v>5365.33</v>
      </c>
      <c r="I7" s="60" t="s">
        <v>133</v>
      </c>
      <c r="J7" s="62">
        <v>5365.33</v>
      </c>
      <c r="K7" s="67" t="s">
        <v>72</v>
      </c>
      <c r="L7" s="60">
        <v>42</v>
      </c>
    </row>
    <row r="8" spans="1:13" ht="18" customHeight="1" x14ac:dyDescent="0.2">
      <c r="A8" s="64">
        <v>6</v>
      </c>
      <c r="B8" s="64" t="s">
        <v>37</v>
      </c>
      <c r="C8" s="64" t="s">
        <v>62</v>
      </c>
      <c r="D8" s="64" t="s">
        <v>33</v>
      </c>
      <c r="E8" s="65">
        <v>45789</v>
      </c>
      <c r="F8" s="65">
        <v>45822</v>
      </c>
      <c r="G8" s="65">
        <v>45838</v>
      </c>
      <c r="H8" s="66">
        <v>-500</v>
      </c>
      <c r="I8" s="64" t="s">
        <v>138</v>
      </c>
      <c r="J8" s="66">
        <v>-370</v>
      </c>
      <c r="K8" s="67" t="s">
        <v>72</v>
      </c>
      <c r="L8" s="64">
        <v>49</v>
      </c>
    </row>
    <row r="9" spans="1:13" ht="18" customHeight="1" x14ac:dyDescent="0.2">
      <c r="A9" s="60">
        <v>7</v>
      </c>
      <c r="B9" s="60" t="s">
        <v>45</v>
      </c>
      <c r="C9" s="60" t="s">
        <v>62</v>
      </c>
      <c r="D9" s="60" t="s">
        <v>33</v>
      </c>
      <c r="E9" s="61">
        <v>45753</v>
      </c>
      <c r="F9" s="61">
        <v>45783</v>
      </c>
      <c r="G9" s="61">
        <v>45756</v>
      </c>
      <c r="H9" s="62">
        <v>9153.73</v>
      </c>
      <c r="I9" s="60" t="s">
        <v>133</v>
      </c>
      <c r="J9" s="62">
        <v>9153.73</v>
      </c>
      <c r="K9" s="67" t="s">
        <v>72</v>
      </c>
      <c r="L9" s="60">
        <v>3</v>
      </c>
    </row>
    <row r="10" spans="1:13" ht="18" customHeight="1" x14ac:dyDescent="0.2">
      <c r="A10" s="64">
        <v>8</v>
      </c>
      <c r="B10" s="64" t="s">
        <v>37</v>
      </c>
      <c r="C10" s="64" t="s">
        <v>32</v>
      </c>
      <c r="D10" s="64" t="s">
        <v>33</v>
      </c>
      <c r="E10" s="65">
        <v>45744</v>
      </c>
      <c r="F10" s="65">
        <v>45777</v>
      </c>
      <c r="G10" s="65">
        <v>45768</v>
      </c>
      <c r="H10" s="66">
        <v>5817.05</v>
      </c>
      <c r="I10" s="64" t="s">
        <v>133</v>
      </c>
      <c r="J10" s="66">
        <v>5817.05</v>
      </c>
      <c r="K10" s="67" t="s">
        <v>72</v>
      </c>
      <c r="L10" s="64">
        <v>24</v>
      </c>
    </row>
    <row r="11" spans="1:13" ht="18" customHeight="1" x14ac:dyDescent="0.2">
      <c r="A11" s="60">
        <v>9</v>
      </c>
      <c r="B11" s="60" t="s">
        <v>37</v>
      </c>
      <c r="C11" s="60" t="s">
        <v>139</v>
      </c>
      <c r="D11" s="60" t="s">
        <v>140</v>
      </c>
      <c r="E11" s="61">
        <v>45808</v>
      </c>
      <c r="F11" s="61">
        <v>45853</v>
      </c>
      <c r="G11" s="61">
        <v>45814</v>
      </c>
      <c r="H11" s="62">
        <v>9976.02</v>
      </c>
      <c r="I11" s="60" t="s">
        <v>138</v>
      </c>
      <c r="J11" s="62">
        <v>7382.2547999999997</v>
      </c>
      <c r="K11" s="68" t="s">
        <v>95</v>
      </c>
      <c r="L11" s="60">
        <v>6</v>
      </c>
    </row>
    <row r="12" spans="1:13" ht="18" customHeight="1" x14ac:dyDescent="0.2">
      <c r="A12" s="64">
        <v>10</v>
      </c>
      <c r="B12" s="64" t="s">
        <v>45</v>
      </c>
      <c r="C12" s="64" t="s">
        <v>40</v>
      </c>
      <c r="D12" s="64" t="s">
        <v>41</v>
      </c>
      <c r="E12" s="65">
        <v>45673</v>
      </c>
      <c r="F12" s="65">
        <v>45705</v>
      </c>
      <c r="G12" s="65">
        <v>45718</v>
      </c>
      <c r="H12" s="66">
        <v>7258.9</v>
      </c>
      <c r="I12" s="64" t="s">
        <v>138</v>
      </c>
      <c r="J12" s="66">
        <v>5371.5860000000002</v>
      </c>
      <c r="K12" s="67" t="s">
        <v>72</v>
      </c>
      <c r="L12" s="64">
        <v>45</v>
      </c>
    </row>
    <row r="13" spans="1:13" ht="18" customHeight="1" x14ac:dyDescent="0.2">
      <c r="A13" s="60">
        <v>11</v>
      </c>
      <c r="B13" s="60" t="s">
        <v>37</v>
      </c>
      <c r="C13" s="60" t="s">
        <v>136</v>
      </c>
      <c r="D13" s="60" t="s">
        <v>137</v>
      </c>
      <c r="E13" s="61">
        <v>45795</v>
      </c>
      <c r="F13" s="61">
        <v>45843</v>
      </c>
      <c r="G13" s="61">
        <v>45802</v>
      </c>
      <c r="H13" s="62">
        <v>299.49</v>
      </c>
      <c r="I13" s="60" t="s">
        <v>138</v>
      </c>
      <c r="J13" s="62">
        <v>221.62260000000001</v>
      </c>
      <c r="K13" s="67" t="s">
        <v>72</v>
      </c>
      <c r="L13" s="60">
        <v>7</v>
      </c>
    </row>
    <row r="14" spans="1:13" ht="18" customHeight="1" x14ac:dyDescent="0.2">
      <c r="A14" s="64">
        <v>12</v>
      </c>
      <c r="B14" s="64" t="s">
        <v>37</v>
      </c>
      <c r="C14" s="64" t="s">
        <v>134</v>
      </c>
      <c r="D14" s="64" t="s">
        <v>135</v>
      </c>
      <c r="E14" s="65">
        <v>45723</v>
      </c>
      <c r="F14" s="65">
        <v>45755</v>
      </c>
      <c r="G14" s="65">
        <v>45765</v>
      </c>
      <c r="H14" s="66">
        <v>4319.5</v>
      </c>
      <c r="I14" s="64" t="s">
        <v>133</v>
      </c>
      <c r="J14" s="66">
        <v>4319.5</v>
      </c>
      <c r="K14" s="67" t="s">
        <v>72</v>
      </c>
      <c r="L14" s="64">
        <v>42</v>
      </c>
    </row>
    <row r="15" spans="1:13" ht="18" customHeight="1" x14ac:dyDescent="0.2">
      <c r="A15" s="60">
        <v>13</v>
      </c>
      <c r="B15" s="60" t="s">
        <v>45</v>
      </c>
      <c r="C15" s="60" t="s">
        <v>48</v>
      </c>
      <c r="D15" s="60" t="s">
        <v>49</v>
      </c>
      <c r="E15" s="61">
        <v>45788</v>
      </c>
      <c r="F15" s="61">
        <v>45820</v>
      </c>
      <c r="G15" s="60"/>
      <c r="H15" s="62">
        <v>7998.2</v>
      </c>
      <c r="I15" s="60" t="s">
        <v>138</v>
      </c>
      <c r="J15" s="62">
        <v>5918.6679999999997</v>
      </c>
      <c r="K15" s="63" t="s">
        <v>100</v>
      </c>
      <c r="L15" s="60"/>
    </row>
    <row r="16" spans="1:13" ht="18" customHeight="1" x14ac:dyDescent="0.2">
      <c r="A16" s="64">
        <v>14</v>
      </c>
      <c r="B16" s="64" t="s">
        <v>37</v>
      </c>
      <c r="C16" s="64" t="s">
        <v>40</v>
      </c>
      <c r="D16" s="64" t="s">
        <v>41</v>
      </c>
      <c r="E16" s="65">
        <v>45761</v>
      </c>
      <c r="F16" s="65">
        <v>45791</v>
      </c>
      <c r="G16" s="65">
        <v>45792</v>
      </c>
      <c r="H16" s="66">
        <v>523.71</v>
      </c>
      <c r="I16" s="64" t="s">
        <v>133</v>
      </c>
      <c r="J16" s="66">
        <v>523.71</v>
      </c>
      <c r="K16" s="67" t="s">
        <v>72</v>
      </c>
      <c r="L16" s="64">
        <v>31</v>
      </c>
    </row>
    <row r="17" spans="1:12" ht="18" customHeight="1" x14ac:dyDescent="0.2">
      <c r="A17" s="60">
        <v>15</v>
      </c>
      <c r="B17" s="60" t="s">
        <v>29</v>
      </c>
      <c r="C17" s="60" t="s">
        <v>32</v>
      </c>
      <c r="D17" s="60" t="s">
        <v>33</v>
      </c>
      <c r="E17" s="61">
        <v>45664</v>
      </c>
      <c r="F17" s="61">
        <v>45695</v>
      </c>
      <c r="G17" s="60"/>
      <c r="H17" s="62">
        <v>3846.67</v>
      </c>
      <c r="I17" s="60" t="s">
        <v>133</v>
      </c>
      <c r="J17" s="62">
        <v>3846.67</v>
      </c>
      <c r="K17" s="63" t="s">
        <v>100</v>
      </c>
      <c r="L17" s="60"/>
    </row>
    <row r="18" spans="1:12" ht="18" customHeight="1" x14ac:dyDescent="0.2">
      <c r="A18" s="64">
        <v>16</v>
      </c>
      <c r="B18" s="64" t="s">
        <v>45</v>
      </c>
      <c r="C18" s="64" t="s">
        <v>48</v>
      </c>
      <c r="D18" s="64" t="s">
        <v>49</v>
      </c>
      <c r="E18" s="65">
        <v>45672</v>
      </c>
      <c r="F18" s="65">
        <v>45705</v>
      </c>
      <c r="G18" s="65">
        <v>45684</v>
      </c>
      <c r="H18" s="66">
        <v>7770.02</v>
      </c>
      <c r="I18" s="64" t="s">
        <v>133</v>
      </c>
      <c r="J18" s="66">
        <v>7770.02</v>
      </c>
      <c r="K18" s="63" t="s">
        <v>100</v>
      </c>
      <c r="L18" s="64">
        <v>12</v>
      </c>
    </row>
    <row r="19" spans="1:12" ht="18" customHeight="1" x14ac:dyDescent="0.2">
      <c r="A19" s="60">
        <v>17</v>
      </c>
      <c r="B19" s="60" t="s">
        <v>29</v>
      </c>
      <c r="C19" s="60" t="s">
        <v>32</v>
      </c>
      <c r="D19" s="60" t="s">
        <v>33</v>
      </c>
      <c r="E19" s="61">
        <v>45690</v>
      </c>
      <c r="F19" s="61">
        <v>45722</v>
      </c>
      <c r="G19" s="60"/>
      <c r="H19" s="62">
        <v>8062.31</v>
      </c>
      <c r="I19" s="60" t="s">
        <v>138</v>
      </c>
      <c r="J19" s="62">
        <v>5966.1094000000003</v>
      </c>
      <c r="K19" s="63" t="s">
        <v>100</v>
      </c>
      <c r="L19" s="60"/>
    </row>
    <row r="20" spans="1:12" ht="18" customHeight="1" x14ac:dyDescent="0.2">
      <c r="A20" s="64">
        <v>18</v>
      </c>
      <c r="B20" s="64" t="s">
        <v>29</v>
      </c>
      <c r="C20" s="64" t="s">
        <v>134</v>
      </c>
      <c r="D20" s="64" t="s">
        <v>135</v>
      </c>
      <c r="E20" s="65">
        <v>45692</v>
      </c>
      <c r="F20" s="65">
        <v>45725</v>
      </c>
      <c r="G20" s="65">
        <v>45746</v>
      </c>
      <c r="H20" s="66">
        <v>7436.76</v>
      </c>
      <c r="I20" s="64" t="s">
        <v>138</v>
      </c>
      <c r="J20" s="66">
        <v>5503.2024000000001</v>
      </c>
      <c r="K20" s="67" t="s">
        <v>72</v>
      </c>
      <c r="L20" s="64">
        <v>54</v>
      </c>
    </row>
    <row r="21" spans="1:12" ht="18" customHeight="1" x14ac:dyDescent="0.2">
      <c r="A21" s="60">
        <v>19</v>
      </c>
      <c r="B21" s="60" t="s">
        <v>29</v>
      </c>
      <c r="C21" s="60" t="s">
        <v>62</v>
      </c>
      <c r="D21" s="60" t="s">
        <v>33</v>
      </c>
      <c r="E21" s="61">
        <v>45665</v>
      </c>
      <c r="F21" s="61">
        <v>45696</v>
      </c>
      <c r="G21" s="61">
        <v>45703</v>
      </c>
      <c r="H21" s="62">
        <v>5244.25</v>
      </c>
      <c r="I21" s="60" t="s">
        <v>133</v>
      </c>
      <c r="J21" s="62">
        <v>5244.25</v>
      </c>
      <c r="K21" s="67" t="s">
        <v>72</v>
      </c>
      <c r="L21" s="60">
        <v>38</v>
      </c>
    </row>
    <row r="22" spans="1:12" ht="18" customHeight="1" x14ac:dyDescent="0.2">
      <c r="A22" s="64">
        <v>20</v>
      </c>
      <c r="B22" s="64" t="s">
        <v>29</v>
      </c>
      <c r="C22" s="64" t="s">
        <v>40</v>
      </c>
      <c r="D22" s="64" t="s">
        <v>41</v>
      </c>
      <c r="E22" s="65">
        <v>45684</v>
      </c>
      <c r="F22" s="65">
        <v>45716</v>
      </c>
      <c r="G22" s="65">
        <v>45706</v>
      </c>
      <c r="H22" s="66">
        <v>1110</v>
      </c>
      <c r="I22" s="64" t="s">
        <v>133</v>
      </c>
      <c r="J22" s="66">
        <v>1110</v>
      </c>
      <c r="K22" s="67" t="s">
        <v>72</v>
      </c>
      <c r="L22" s="64">
        <v>22</v>
      </c>
    </row>
    <row r="23" spans="1:12" ht="18" customHeight="1" x14ac:dyDescent="0.2">
      <c r="A23" s="60">
        <v>21</v>
      </c>
      <c r="B23" s="60" t="s">
        <v>37</v>
      </c>
      <c r="C23" s="60" t="s">
        <v>32</v>
      </c>
      <c r="D23" s="60" t="s">
        <v>33</v>
      </c>
      <c r="E23" s="61">
        <v>45725</v>
      </c>
      <c r="F23" s="60"/>
      <c r="G23" s="61">
        <v>45729</v>
      </c>
      <c r="H23" s="62">
        <v>9570.0400000000009</v>
      </c>
      <c r="I23" s="60" t="s">
        <v>133</v>
      </c>
      <c r="J23" s="62">
        <v>9570.0400000000009</v>
      </c>
      <c r="K23" s="67" t="s">
        <v>72</v>
      </c>
      <c r="L23" s="60">
        <v>4</v>
      </c>
    </row>
    <row r="24" spans="1:12" ht="18" customHeight="1" x14ac:dyDescent="0.2">
      <c r="A24" s="64">
        <v>22</v>
      </c>
      <c r="B24" s="64" t="s">
        <v>37</v>
      </c>
      <c r="C24" s="64" t="s">
        <v>139</v>
      </c>
      <c r="D24" s="64" t="s">
        <v>140</v>
      </c>
      <c r="E24" s="65">
        <v>45726</v>
      </c>
      <c r="F24" s="65">
        <v>45772</v>
      </c>
      <c r="G24" s="65">
        <v>45729</v>
      </c>
      <c r="H24" s="66">
        <v>3543.21</v>
      </c>
      <c r="I24" s="64" t="s">
        <v>133</v>
      </c>
      <c r="J24" s="66">
        <v>3543.21</v>
      </c>
      <c r="K24" s="67" t="s">
        <v>72</v>
      </c>
      <c r="L24" s="64">
        <v>3</v>
      </c>
    </row>
    <row r="25" spans="1:12" ht="18" customHeight="1" x14ac:dyDescent="0.2">
      <c r="A25" s="60">
        <v>23</v>
      </c>
      <c r="B25" s="60" t="s">
        <v>45</v>
      </c>
      <c r="C25" s="60" t="s">
        <v>136</v>
      </c>
      <c r="D25" s="60" t="s">
        <v>137</v>
      </c>
      <c r="E25" s="61">
        <v>45781</v>
      </c>
      <c r="F25" s="61">
        <v>45829</v>
      </c>
      <c r="G25" s="61">
        <v>45802</v>
      </c>
      <c r="H25" s="62">
        <v>7194.88</v>
      </c>
      <c r="I25" s="60" t="s">
        <v>138</v>
      </c>
      <c r="J25" s="62">
        <v>5324.2111999999997</v>
      </c>
      <c r="K25" s="67" t="s">
        <v>72</v>
      </c>
      <c r="L25" s="60">
        <v>21</v>
      </c>
    </row>
    <row r="26" spans="1:12" ht="18" customHeight="1" x14ac:dyDescent="0.2">
      <c r="A26" s="64">
        <v>24</v>
      </c>
      <c r="B26" s="64" t="s">
        <v>29</v>
      </c>
      <c r="C26" s="64" t="s">
        <v>62</v>
      </c>
      <c r="D26" s="64" t="s">
        <v>33</v>
      </c>
      <c r="E26" s="65">
        <v>45715</v>
      </c>
      <c r="F26" s="65">
        <v>45746</v>
      </c>
      <c r="G26" s="65">
        <v>45771</v>
      </c>
      <c r="H26" s="66">
        <v>7947.16</v>
      </c>
      <c r="I26" s="64" t="s">
        <v>138</v>
      </c>
      <c r="J26" s="66">
        <v>5880.8984</v>
      </c>
      <c r="K26" s="67" t="s">
        <v>72</v>
      </c>
      <c r="L26" s="64">
        <v>56</v>
      </c>
    </row>
    <row r="27" spans="1:12" ht="18" customHeight="1" x14ac:dyDescent="0.2">
      <c r="A27" s="60">
        <v>25</v>
      </c>
      <c r="B27" s="60" t="s">
        <v>29</v>
      </c>
      <c r="C27" s="60" t="s">
        <v>57</v>
      </c>
      <c r="D27" s="60" t="s">
        <v>58</v>
      </c>
      <c r="E27" s="61">
        <v>45689</v>
      </c>
      <c r="F27" s="61">
        <v>45719</v>
      </c>
      <c r="G27" s="61">
        <v>45713</v>
      </c>
      <c r="H27" s="62">
        <v>9585.2999999999993</v>
      </c>
      <c r="I27" s="60" t="s">
        <v>138</v>
      </c>
      <c r="J27" s="62">
        <v>7093.1220000000003</v>
      </c>
      <c r="K27" s="67" t="s">
        <v>72</v>
      </c>
      <c r="L27" s="60">
        <v>24</v>
      </c>
    </row>
    <row r="28" spans="1:12" ht="18" customHeight="1" x14ac:dyDescent="0.2">
      <c r="A28" s="64">
        <v>26</v>
      </c>
      <c r="B28" s="64" t="s">
        <v>29</v>
      </c>
      <c r="C28" s="64" t="s">
        <v>32</v>
      </c>
      <c r="D28" s="64" t="s">
        <v>33</v>
      </c>
      <c r="E28" s="65">
        <v>45713</v>
      </c>
      <c r="F28" s="65">
        <v>45746</v>
      </c>
      <c r="G28" s="65">
        <v>45729</v>
      </c>
      <c r="H28" s="66">
        <v>250000</v>
      </c>
      <c r="I28" s="64" t="s">
        <v>133</v>
      </c>
      <c r="J28" s="66">
        <v>250000</v>
      </c>
      <c r="K28" s="67" t="s">
        <v>72</v>
      </c>
      <c r="L28" s="64">
        <v>16</v>
      </c>
    </row>
    <row r="29" spans="1:12" ht="18" customHeight="1" x14ac:dyDescent="0.2">
      <c r="A29" s="60">
        <v>27</v>
      </c>
      <c r="B29" s="60" t="s">
        <v>29</v>
      </c>
      <c r="C29" s="60" t="s">
        <v>134</v>
      </c>
      <c r="D29" s="60" t="s">
        <v>135</v>
      </c>
      <c r="E29" s="61">
        <v>45764</v>
      </c>
      <c r="F29" s="61">
        <v>45797</v>
      </c>
      <c r="G29" s="61">
        <v>45782</v>
      </c>
      <c r="H29" s="62">
        <v>8592.0499999999993</v>
      </c>
      <c r="I29" s="60" t="s">
        <v>138</v>
      </c>
      <c r="J29" s="62">
        <v>6358.1170000000002</v>
      </c>
      <c r="K29" s="67" t="s">
        <v>72</v>
      </c>
      <c r="L29" s="60">
        <v>18</v>
      </c>
    </row>
    <row r="30" spans="1:12" ht="18" customHeight="1" x14ac:dyDescent="0.2">
      <c r="A30" s="64">
        <v>28</v>
      </c>
      <c r="B30" s="64" t="s">
        <v>29</v>
      </c>
      <c r="C30" s="64" t="s">
        <v>48</v>
      </c>
      <c r="D30" s="64" t="s">
        <v>49</v>
      </c>
      <c r="E30" s="65">
        <v>45733</v>
      </c>
      <c r="F30" s="65">
        <v>45763</v>
      </c>
      <c r="G30" s="65">
        <v>45771</v>
      </c>
      <c r="H30" s="66">
        <v>3357.89</v>
      </c>
      <c r="I30" s="64" t="s">
        <v>138</v>
      </c>
      <c r="J30" s="66">
        <v>2484.8386</v>
      </c>
      <c r="K30" s="67" t="s">
        <v>72</v>
      </c>
      <c r="L30" s="64">
        <v>38</v>
      </c>
    </row>
    <row r="31" spans="1:12" ht="18" customHeight="1" x14ac:dyDescent="0.2">
      <c r="A31" s="60">
        <v>29</v>
      </c>
      <c r="B31" s="60" t="s">
        <v>37</v>
      </c>
      <c r="C31" s="60" t="s">
        <v>57</v>
      </c>
      <c r="D31" s="60" t="s">
        <v>58</v>
      </c>
      <c r="E31" s="61">
        <v>45757</v>
      </c>
      <c r="F31" s="61">
        <v>45789</v>
      </c>
      <c r="G31" s="61">
        <v>45804</v>
      </c>
      <c r="H31" s="62">
        <v>9638.6200000000008</v>
      </c>
      <c r="I31" s="60" t="s">
        <v>133</v>
      </c>
      <c r="J31" s="62">
        <v>9638.6200000000008</v>
      </c>
      <c r="K31" s="67" t="s">
        <v>72</v>
      </c>
      <c r="L31" s="60">
        <v>47</v>
      </c>
    </row>
    <row r="32" spans="1:12" ht="18" customHeight="1" x14ac:dyDescent="0.2">
      <c r="A32" s="64">
        <v>30</v>
      </c>
      <c r="B32" s="64" t="s">
        <v>37</v>
      </c>
      <c r="C32" s="64" t="s">
        <v>53</v>
      </c>
      <c r="D32" s="64" t="s">
        <v>41</v>
      </c>
      <c r="E32" s="65">
        <v>45726</v>
      </c>
      <c r="F32" s="65">
        <v>45744</v>
      </c>
      <c r="G32" s="65">
        <v>45749</v>
      </c>
      <c r="H32" s="66">
        <v>9498.1299999999992</v>
      </c>
      <c r="I32" s="64" t="s">
        <v>138</v>
      </c>
      <c r="J32" s="66">
        <v>7028.6162000000004</v>
      </c>
      <c r="K32" s="67" t="s">
        <v>72</v>
      </c>
      <c r="L32" s="64">
        <v>23</v>
      </c>
    </row>
    <row r="33" spans="1:12" ht="18" customHeight="1" x14ac:dyDescent="0.2">
      <c r="A33" s="60">
        <v>31</v>
      </c>
      <c r="B33" s="60" t="s">
        <v>45</v>
      </c>
      <c r="C33" s="60" t="s">
        <v>57</v>
      </c>
      <c r="D33" s="60" t="s">
        <v>58</v>
      </c>
      <c r="E33" s="61">
        <v>45728</v>
      </c>
      <c r="F33" s="61">
        <v>45760</v>
      </c>
      <c r="G33" s="60"/>
      <c r="H33" s="62">
        <v>4395.58</v>
      </c>
      <c r="I33" s="60" t="s">
        <v>138</v>
      </c>
      <c r="J33" s="62">
        <v>3252.7292000000002</v>
      </c>
      <c r="K33" s="63" t="s">
        <v>100</v>
      </c>
      <c r="L33" s="60"/>
    </row>
    <row r="34" spans="1:12" ht="18" customHeight="1" x14ac:dyDescent="0.2">
      <c r="A34" s="64">
        <v>32</v>
      </c>
      <c r="B34" s="64" t="s">
        <v>45</v>
      </c>
      <c r="C34" s="64" t="s">
        <v>136</v>
      </c>
      <c r="D34" s="64" t="s">
        <v>137</v>
      </c>
      <c r="E34" s="65">
        <v>45780</v>
      </c>
      <c r="F34" s="65">
        <v>45825</v>
      </c>
      <c r="G34" s="65">
        <v>45792</v>
      </c>
      <c r="H34" s="66">
        <v>3393.24</v>
      </c>
      <c r="I34" s="64" t="s">
        <v>133</v>
      </c>
      <c r="J34" s="66">
        <v>3393.24</v>
      </c>
      <c r="K34" s="67" t="s">
        <v>72</v>
      </c>
      <c r="L34" s="64">
        <v>12</v>
      </c>
    </row>
    <row r="35" spans="1:12" ht="18" customHeight="1" x14ac:dyDescent="0.2">
      <c r="A35" s="60">
        <v>33</v>
      </c>
      <c r="B35" s="60" t="s">
        <v>37</v>
      </c>
      <c r="C35" s="60" t="s">
        <v>57</v>
      </c>
      <c r="D35" s="60" t="s">
        <v>58</v>
      </c>
      <c r="E35" s="61">
        <v>45666</v>
      </c>
      <c r="F35" s="61">
        <v>45699</v>
      </c>
      <c r="G35" s="61">
        <v>45711</v>
      </c>
      <c r="H35" s="62">
        <v>7788.11</v>
      </c>
      <c r="I35" s="60" t="s">
        <v>133</v>
      </c>
      <c r="J35" s="62">
        <v>7788.11</v>
      </c>
      <c r="K35" s="67" t="s">
        <v>72</v>
      </c>
      <c r="L35" s="60">
        <v>45</v>
      </c>
    </row>
    <row r="36" spans="1:12" ht="18" customHeight="1" x14ac:dyDescent="0.2">
      <c r="A36" s="64">
        <v>34</v>
      </c>
      <c r="B36" s="64" t="s">
        <v>45</v>
      </c>
      <c r="C36" s="64" t="s">
        <v>57</v>
      </c>
      <c r="D36" s="64" t="s">
        <v>58</v>
      </c>
      <c r="E36" s="65">
        <v>45661</v>
      </c>
      <c r="F36" s="65">
        <v>45693</v>
      </c>
      <c r="G36" s="65">
        <v>45669</v>
      </c>
      <c r="H36" s="66">
        <v>8741.5499999999993</v>
      </c>
      <c r="I36" s="64" t="s">
        <v>133</v>
      </c>
      <c r="J36" s="66">
        <v>8741.5499999999993</v>
      </c>
      <c r="K36" s="67" t="s">
        <v>72</v>
      </c>
      <c r="L36" s="64">
        <v>8</v>
      </c>
    </row>
    <row r="37" spans="1:12" ht="18" customHeight="1" x14ac:dyDescent="0.2">
      <c r="A37" s="60">
        <v>35</v>
      </c>
      <c r="B37" s="60" t="s">
        <v>37</v>
      </c>
      <c r="C37" s="60" t="s">
        <v>62</v>
      </c>
      <c r="D37" s="60" t="s">
        <v>33</v>
      </c>
      <c r="E37" s="61">
        <v>45749</v>
      </c>
      <c r="F37" s="61">
        <v>45782</v>
      </c>
      <c r="G37" s="61">
        <v>45779</v>
      </c>
      <c r="H37" s="62">
        <v>6802.94</v>
      </c>
      <c r="I37" s="60" t="s">
        <v>133</v>
      </c>
      <c r="J37" s="62">
        <v>6802.94</v>
      </c>
      <c r="K37" s="67" t="s">
        <v>72</v>
      </c>
      <c r="L37" s="60">
        <v>30</v>
      </c>
    </row>
    <row r="38" spans="1:12" ht="18" customHeight="1" x14ac:dyDescent="0.2">
      <c r="A38" s="64">
        <v>36</v>
      </c>
      <c r="B38" s="64" t="s">
        <v>37</v>
      </c>
      <c r="C38" s="64" t="s">
        <v>122</v>
      </c>
      <c r="D38" s="64" t="s">
        <v>132</v>
      </c>
      <c r="E38" s="65">
        <v>45792</v>
      </c>
      <c r="F38" s="65">
        <v>45823</v>
      </c>
      <c r="G38" s="65">
        <v>45816</v>
      </c>
      <c r="H38" s="66">
        <v>5098.42</v>
      </c>
      <c r="I38" s="64" t="s">
        <v>138</v>
      </c>
      <c r="J38" s="66">
        <v>3772.8308000000002</v>
      </c>
      <c r="K38" s="67" t="s">
        <v>72</v>
      </c>
      <c r="L38" s="64">
        <v>24</v>
      </c>
    </row>
    <row r="39" spans="1:12" ht="18" customHeight="1" x14ac:dyDescent="0.2">
      <c r="A39" s="60">
        <v>37</v>
      </c>
      <c r="B39" s="60" t="s">
        <v>37</v>
      </c>
      <c r="C39" s="60" t="s">
        <v>122</v>
      </c>
      <c r="D39" s="60" t="s">
        <v>132</v>
      </c>
      <c r="E39" s="61">
        <v>45793</v>
      </c>
      <c r="F39" s="61">
        <v>45823</v>
      </c>
      <c r="G39" s="61">
        <v>45824</v>
      </c>
      <c r="H39" s="62">
        <v>5662.55</v>
      </c>
      <c r="I39" s="60" t="s">
        <v>133</v>
      </c>
      <c r="J39" s="62">
        <v>5662.55</v>
      </c>
      <c r="K39" s="67" t="s">
        <v>72</v>
      </c>
      <c r="L39" s="60">
        <v>31</v>
      </c>
    </row>
    <row r="40" spans="1:12" ht="18" customHeight="1" x14ac:dyDescent="0.2">
      <c r="A40" s="64">
        <v>38</v>
      </c>
      <c r="B40" s="64" t="s">
        <v>45</v>
      </c>
      <c r="C40" s="64" t="s">
        <v>48</v>
      </c>
      <c r="D40" s="64" t="s">
        <v>49</v>
      </c>
      <c r="E40" s="65">
        <v>45758</v>
      </c>
      <c r="F40" s="65">
        <v>45791</v>
      </c>
      <c r="G40" s="64"/>
      <c r="H40" s="66">
        <v>7664.62</v>
      </c>
      <c r="I40" s="64" t="s">
        <v>138</v>
      </c>
      <c r="J40" s="66">
        <v>5671.8188</v>
      </c>
      <c r="K40" s="68" t="s">
        <v>95</v>
      </c>
      <c r="L40" s="64"/>
    </row>
    <row r="41" spans="1:12" ht="18" customHeight="1" x14ac:dyDescent="0.2">
      <c r="A41" s="60">
        <v>39</v>
      </c>
      <c r="B41" s="60" t="s">
        <v>45</v>
      </c>
      <c r="C41" s="60" t="s">
        <v>32</v>
      </c>
      <c r="D41" s="60" t="s">
        <v>33</v>
      </c>
      <c r="E41" s="61">
        <v>45697</v>
      </c>
      <c r="F41" s="61">
        <v>45730</v>
      </c>
      <c r="G41" s="60"/>
      <c r="H41" s="62">
        <v>9774.0499999999993</v>
      </c>
      <c r="I41" s="60" t="s">
        <v>133</v>
      </c>
      <c r="J41" s="62">
        <v>9774.0499999999993</v>
      </c>
      <c r="K41" s="63" t="s">
        <v>100</v>
      </c>
      <c r="L41" s="60"/>
    </row>
    <row r="42" spans="1:12" ht="18" customHeight="1" x14ac:dyDescent="0.2">
      <c r="A42" s="64">
        <v>40</v>
      </c>
      <c r="B42" s="64" t="s">
        <v>37</v>
      </c>
      <c r="C42" s="64" t="s">
        <v>139</v>
      </c>
      <c r="D42" s="64" t="s">
        <v>140</v>
      </c>
      <c r="E42" s="65">
        <v>45676</v>
      </c>
      <c r="F42" s="65">
        <v>45724</v>
      </c>
      <c r="G42" s="64"/>
      <c r="H42" s="66">
        <v>5559.89</v>
      </c>
      <c r="I42" s="64" t="s">
        <v>133</v>
      </c>
      <c r="J42" s="66">
        <v>5559.89</v>
      </c>
      <c r="K42" s="68" t="s">
        <v>95</v>
      </c>
      <c r="L42" s="64"/>
    </row>
    <row r="43" spans="1:12" ht="18" customHeight="1" x14ac:dyDescent="0.2">
      <c r="A43" s="60">
        <v>41</v>
      </c>
      <c r="B43" s="60" t="s">
        <v>37</v>
      </c>
      <c r="C43" s="60" t="s">
        <v>62</v>
      </c>
      <c r="D43" s="60" t="s">
        <v>33</v>
      </c>
      <c r="E43" s="61">
        <v>45732</v>
      </c>
      <c r="F43" s="61">
        <v>45763</v>
      </c>
      <c r="G43" s="60"/>
      <c r="H43" s="62">
        <v>2277.71</v>
      </c>
      <c r="I43" s="60" t="s">
        <v>133</v>
      </c>
      <c r="J43" s="62">
        <v>2277.71</v>
      </c>
      <c r="K43" s="68" t="s">
        <v>95</v>
      </c>
      <c r="L43" s="60"/>
    </row>
    <row r="44" spans="1:12" ht="18" customHeight="1" x14ac:dyDescent="0.2">
      <c r="A44" s="64">
        <v>42</v>
      </c>
      <c r="B44" s="64" t="s">
        <v>45</v>
      </c>
      <c r="C44" s="64" t="s">
        <v>32</v>
      </c>
      <c r="D44" s="64" t="s">
        <v>33</v>
      </c>
      <c r="E44" s="65">
        <v>45697</v>
      </c>
      <c r="F44" s="65">
        <v>45730</v>
      </c>
      <c r="G44" s="65">
        <v>45731</v>
      </c>
      <c r="H44" s="66">
        <v>6691.73</v>
      </c>
      <c r="I44" s="64" t="s">
        <v>138</v>
      </c>
      <c r="J44" s="66">
        <v>4951.8801999999996</v>
      </c>
      <c r="K44" s="67" t="s">
        <v>72</v>
      </c>
      <c r="L44" s="64">
        <v>34</v>
      </c>
    </row>
    <row r="45" spans="1:12" ht="18" customHeight="1" x14ac:dyDescent="0.2">
      <c r="A45" s="60">
        <v>43</v>
      </c>
      <c r="B45" s="60" t="s">
        <v>29</v>
      </c>
      <c r="C45" s="60" t="s">
        <v>40</v>
      </c>
      <c r="D45" s="60" t="s">
        <v>41</v>
      </c>
      <c r="E45" s="61">
        <v>45706</v>
      </c>
      <c r="F45" s="61">
        <v>45739</v>
      </c>
      <c r="G45" s="61">
        <v>45737</v>
      </c>
      <c r="H45" s="62">
        <v>8710.7199999999993</v>
      </c>
      <c r="I45" s="60" t="s">
        <v>133</v>
      </c>
      <c r="J45" s="62">
        <v>8710.7199999999993</v>
      </c>
      <c r="K45" s="67" t="s">
        <v>72</v>
      </c>
      <c r="L45" s="60">
        <v>31</v>
      </c>
    </row>
    <row r="46" spans="1:12" ht="18" customHeight="1" x14ac:dyDescent="0.2">
      <c r="A46" s="64">
        <v>44</v>
      </c>
      <c r="B46" s="64" t="s">
        <v>37</v>
      </c>
      <c r="C46" s="64" t="s">
        <v>53</v>
      </c>
      <c r="D46" s="64" t="s">
        <v>41</v>
      </c>
      <c r="E46" s="65">
        <v>45685</v>
      </c>
      <c r="F46" s="65">
        <v>45701</v>
      </c>
      <c r="G46" s="65">
        <v>45738</v>
      </c>
      <c r="H46" s="66">
        <v>3658.26</v>
      </c>
      <c r="I46" s="64" t="s">
        <v>133</v>
      </c>
      <c r="J46" s="66">
        <v>3658.26</v>
      </c>
      <c r="K46" s="67" t="s">
        <v>72</v>
      </c>
      <c r="L46" s="64">
        <v>53</v>
      </c>
    </row>
    <row r="47" spans="1:12" ht="18" customHeight="1" x14ac:dyDescent="0.2">
      <c r="A47" s="60">
        <v>45</v>
      </c>
      <c r="B47" s="60" t="s">
        <v>29</v>
      </c>
      <c r="C47" s="60" t="s">
        <v>40</v>
      </c>
      <c r="D47" s="60" t="s">
        <v>41</v>
      </c>
      <c r="E47" s="61">
        <v>45748</v>
      </c>
      <c r="F47" s="61">
        <v>45780</v>
      </c>
      <c r="G47" s="61">
        <v>45754</v>
      </c>
      <c r="H47" s="62">
        <v>1236.1199999999999</v>
      </c>
      <c r="I47" s="60" t="s">
        <v>133</v>
      </c>
      <c r="J47" s="62">
        <v>1236.1199999999999</v>
      </c>
      <c r="K47" s="67" t="s">
        <v>72</v>
      </c>
      <c r="L47" s="60">
        <v>6</v>
      </c>
    </row>
    <row r="48" spans="1:12" ht="18" customHeight="1" x14ac:dyDescent="0.2">
      <c r="A48" s="64">
        <v>46</v>
      </c>
      <c r="B48" s="64" t="s">
        <v>45</v>
      </c>
      <c r="C48" s="64" t="s">
        <v>32</v>
      </c>
      <c r="D48" s="64" t="s">
        <v>33</v>
      </c>
      <c r="E48" s="65">
        <v>45679</v>
      </c>
      <c r="F48" s="65">
        <v>45710</v>
      </c>
      <c r="G48" s="64"/>
      <c r="H48" s="66">
        <v>8788.06</v>
      </c>
      <c r="I48" s="64" t="s">
        <v>133</v>
      </c>
      <c r="J48" s="66">
        <v>8788.06</v>
      </c>
      <c r="K48" s="63" t="s">
        <v>100</v>
      </c>
      <c r="L48" s="64"/>
    </row>
    <row r="49" spans="1:12" ht="18" customHeight="1" x14ac:dyDescent="0.2">
      <c r="A49" s="60">
        <v>47</v>
      </c>
      <c r="B49" s="60" t="s">
        <v>37</v>
      </c>
      <c r="C49" s="60" t="s">
        <v>136</v>
      </c>
      <c r="D49" s="60" t="s">
        <v>137</v>
      </c>
      <c r="E49" s="61">
        <v>45680</v>
      </c>
      <c r="F49" s="61">
        <v>45727</v>
      </c>
      <c r="G49" s="60"/>
      <c r="H49" s="62">
        <v>4684.54</v>
      </c>
      <c r="I49" s="60" t="s">
        <v>133</v>
      </c>
      <c r="J49" s="62">
        <v>4684.54</v>
      </c>
      <c r="K49" s="63" t="s">
        <v>100</v>
      </c>
      <c r="L49" s="60"/>
    </row>
    <row r="50" spans="1:12" ht="18" customHeight="1" x14ac:dyDescent="0.2">
      <c r="A50" s="64">
        <v>48</v>
      </c>
      <c r="B50" s="64" t="s">
        <v>45</v>
      </c>
      <c r="C50" s="64" t="s">
        <v>62</v>
      </c>
      <c r="D50" s="64" t="s">
        <v>33</v>
      </c>
      <c r="E50" s="65">
        <v>45673</v>
      </c>
      <c r="F50" s="65">
        <v>45703</v>
      </c>
      <c r="G50" s="64"/>
      <c r="H50" s="66">
        <v>1516.43</v>
      </c>
      <c r="I50" s="64" t="s">
        <v>133</v>
      </c>
      <c r="J50" s="66">
        <v>1516.43</v>
      </c>
      <c r="K50" s="63" t="s">
        <v>100</v>
      </c>
      <c r="L50" s="64"/>
    </row>
    <row r="51" spans="1:12" ht="18" customHeight="1" x14ac:dyDescent="0.2">
      <c r="A51" s="60">
        <v>49</v>
      </c>
      <c r="B51" s="60" t="s">
        <v>29</v>
      </c>
      <c r="C51" s="60" t="s">
        <v>53</v>
      </c>
      <c r="D51" s="60" t="s">
        <v>41</v>
      </c>
      <c r="E51" s="61">
        <v>45710</v>
      </c>
      <c r="F51" s="61">
        <v>45726</v>
      </c>
      <c r="G51" s="61">
        <v>45731</v>
      </c>
      <c r="H51" s="62">
        <v>6781.54</v>
      </c>
      <c r="I51" s="60" t="s">
        <v>133</v>
      </c>
      <c r="J51" s="62">
        <v>6781.54</v>
      </c>
      <c r="K51" s="67" t="s">
        <v>72</v>
      </c>
      <c r="L51" s="60">
        <v>21</v>
      </c>
    </row>
    <row r="52" spans="1:12" ht="18" customHeight="1" x14ac:dyDescent="0.2">
      <c r="A52" s="64">
        <v>50</v>
      </c>
      <c r="B52" s="64" t="s">
        <v>45</v>
      </c>
      <c r="C52" s="64" t="s">
        <v>134</v>
      </c>
      <c r="D52" s="64" t="s">
        <v>135</v>
      </c>
      <c r="E52" s="65">
        <v>45732</v>
      </c>
      <c r="F52" s="65">
        <v>45764</v>
      </c>
      <c r="G52" s="65">
        <v>45750</v>
      </c>
      <c r="H52" s="66">
        <v>8183.59</v>
      </c>
      <c r="I52" s="64" t="s">
        <v>133</v>
      </c>
      <c r="J52" s="66">
        <v>8183.59</v>
      </c>
      <c r="K52" s="67" t="s">
        <v>72</v>
      </c>
      <c r="L52" s="64">
        <v>18</v>
      </c>
    </row>
    <row r="53" spans="1:12" ht="18" customHeight="1" x14ac:dyDescent="0.2">
      <c r="A53" s="60">
        <v>51</v>
      </c>
      <c r="B53" s="60" t="s">
        <v>45</v>
      </c>
      <c r="C53" s="60" t="s">
        <v>48</v>
      </c>
      <c r="D53" s="60" t="s">
        <v>49</v>
      </c>
      <c r="E53" s="61">
        <v>45686</v>
      </c>
      <c r="F53" s="61">
        <v>45717</v>
      </c>
      <c r="G53" s="61">
        <v>45722</v>
      </c>
      <c r="H53" s="62">
        <v>7967.71</v>
      </c>
      <c r="I53" s="60" t="s">
        <v>133</v>
      </c>
      <c r="J53" s="62">
        <v>7967.71</v>
      </c>
      <c r="K53" s="67" t="s">
        <v>72</v>
      </c>
      <c r="L53" s="60">
        <v>36</v>
      </c>
    </row>
    <row r="54" spans="1:12" ht="18" customHeight="1" x14ac:dyDescent="0.2">
      <c r="A54" s="64">
        <v>52</v>
      </c>
      <c r="B54" s="64" t="s">
        <v>29</v>
      </c>
      <c r="C54" s="64" t="s">
        <v>40</v>
      </c>
      <c r="D54" s="64" t="s">
        <v>41</v>
      </c>
      <c r="E54" s="65">
        <v>45752</v>
      </c>
      <c r="F54" s="65">
        <v>45784</v>
      </c>
      <c r="G54" s="65">
        <v>45754</v>
      </c>
      <c r="H54" s="66">
        <v>6106.01</v>
      </c>
      <c r="I54" s="64" t="s">
        <v>133</v>
      </c>
      <c r="J54" s="66">
        <v>6106.01</v>
      </c>
      <c r="K54" s="67" t="s">
        <v>72</v>
      </c>
      <c r="L54" s="64">
        <v>2</v>
      </c>
    </row>
    <row r="55" spans="1:12" ht="18" customHeight="1" x14ac:dyDescent="0.2">
      <c r="A55" s="60">
        <v>53</v>
      </c>
      <c r="B55" s="60" t="s">
        <v>29</v>
      </c>
      <c r="C55" s="60" t="s">
        <v>134</v>
      </c>
      <c r="D55" s="60" t="s">
        <v>135</v>
      </c>
      <c r="E55" s="61">
        <v>45747</v>
      </c>
      <c r="F55" s="61">
        <v>45777</v>
      </c>
      <c r="G55" s="60"/>
      <c r="H55" s="62">
        <v>6178.09</v>
      </c>
      <c r="I55" s="60" t="s">
        <v>138</v>
      </c>
      <c r="J55" s="62">
        <v>4571.7866000000004</v>
      </c>
      <c r="K55" s="63" t="s">
        <v>100</v>
      </c>
      <c r="L55" s="60"/>
    </row>
    <row r="56" spans="1:12" ht="18" customHeight="1" x14ac:dyDescent="0.2">
      <c r="A56" s="64">
        <v>54</v>
      </c>
      <c r="B56" s="64" t="s">
        <v>37</v>
      </c>
      <c r="C56" s="64" t="s">
        <v>57</v>
      </c>
      <c r="D56" s="64" t="s">
        <v>58</v>
      </c>
      <c r="E56" s="65">
        <v>45794</v>
      </c>
      <c r="F56" s="65">
        <v>45825</v>
      </c>
      <c r="G56" s="65">
        <v>45801</v>
      </c>
      <c r="H56" s="66">
        <v>2078.46</v>
      </c>
      <c r="I56" s="64" t="s">
        <v>133</v>
      </c>
      <c r="J56" s="66">
        <v>2078.46</v>
      </c>
      <c r="K56" s="67" t="s">
        <v>72</v>
      </c>
      <c r="L56" s="64">
        <v>7</v>
      </c>
    </row>
    <row r="57" spans="1:12" ht="18" customHeight="1" x14ac:dyDescent="0.2">
      <c r="A57" s="60">
        <v>55</v>
      </c>
      <c r="B57" s="60" t="s">
        <v>29</v>
      </c>
      <c r="C57" s="60" t="s">
        <v>53</v>
      </c>
      <c r="D57" s="60" t="s">
        <v>41</v>
      </c>
      <c r="E57" s="61">
        <v>45730</v>
      </c>
      <c r="F57" s="61">
        <v>45746</v>
      </c>
      <c r="G57" s="60"/>
      <c r="H57" s="62">
        <v>7690.85</v>
      </c>
      <c r="I57" s="60" t="s">
        <v>133</v>
      </c>
      <c r="J57" s="62">
        <v>7690.85</v>
      </c>
      <c r="K57" s="63" t="s">
        <v>100</v>
      </c>
      <c r="L57" s="60"/>
    </row>
    <row r="58" spans="1:12" ht="18" customHeight="1" x14ac:dyDescent="0.2">
      <c r="A58" s="64">
        <v>56</v>
      </c>
      <c r="B58" s="64" t="s">
        <v>37</v>
      </c>
      <c r="C58" s="64" t="s">
        <v>32</v>
      </c>
      <c r="D58" s="64" t="s">
        <v>33</v>
      </c>
      <c r="E58" s="65">
        <v>45705</v>
      </c>
      <c r="F58" s="65">
        <v>45735</v>
      </c>
      <c r="G58" s="65">
        <v>45741</v>
      </c>
      <c r="H58" s="66">
        <v>1193.67</v>
      </c>
      <c r="I58" s="64" t="s">
        <v>133</v>
      </c>
      <c r="J58" s="66">
        <v>1193.67</v>
      </c>
      <c r="K58" s="67" t="s">
        <v>72</v>
      </c>
      <c r="L58" s="64">
        <v>36</v>
      </c>
    </row>
    <row r="59" spans="1:12" ht="18" customHeight="1" x14ac:dyDescent="0.2">
      <c r="A59" s="60">
        <v>57</v>
      </c>
      <c r="B59" s="60" t="s">
        <v>37</v>
      </c>
      <c r="C59" s="60" t="s">
        <v>32</v>
      </c>
      <c r="D59" s="60" t="s">
        <v>33</v>
      </c>
      <c r="E59" s="61">
        <v>45672</v>
      </c>
      <c r="F59" s="61">
        <v>45704</v>
      </c>
      <c r="G59" s="60"/>
      <c r="H59" s="62">
        <v>1109.1099999999999</v>
      </c>
      <c r="I59" s="60" t="s">
        <v>133</v>
      </c>
      <c r="J59" s="62">
        <v>1109.1099999999999</v>
      </c>
      <c r="K59" s="68" t="s">
        <v>95</v>
      </c>
      <c r="L59" s="60"/>
    </row>
    <row r="60" spans="1:12" ht="18" customHeight="1" x14ac:dyDescent="0.2">
      <c r="A60" s="64">
        <v>58</v>
      </c>
      <c r="B60" s="64" t="s">
        <v>45</v>
      </c>
      <c r="C60" s="64" t="s">
        <v>40</v>
      </c>
      <c r="D60" s="64" t="s">
        <v>41</v>
      </c>
      <c r="E60" s="65">
        <v>45688</v>
      </c>
      <c r="F60" s="65">
        <v>45718</v>
      </c>
      <c r="G60" s="65">
        <v>45740</v>
      </c>
      <c r="H60" s="66">
        <v>6452.26</v>
      </c>
      <c r="I60" s="64" t="s">
        <v>133</v>
      </c>
      <c r="J60" s="66">
        <v>6452.26</v>
      </c>
      <c r="K60" s="67" t="s">
        <v>72</v>
      </c>
      <c r="L60" s="64">
        <v>52</v>
      </c>
    </row>
    <row r="61" spans="1:12" ht="18" customHeight="1" x14ac:dyDescent="0.2">
      <c r="A61" s="60">
        <v>59</v>
      </c>
      <c r="B61" s="60" t="s">
        <v>29</v>
      </c>
      <c r="C61" s="60" t="s">
        <v>139</v>
      </c>
      <c r="D61" s="60" t="s">
        <v>140</v>
      </c>
      <c r="E61" s="61">
        <v>45659</v>
      </c>
      <c r="F61" s="61">
        <v>45704</v>
      </c>
      <c r="G61" s="61">
        <v>45705</v>
      </c>
      <c r="H61" s="62">
        <v>4521.25</v>
      </c>
      <c r="I61" s="60" t="s">
        <v>138</v>
      </c>
      <c r="J61" s="62">
        <v>3345.7249999999999</v>
      </c>
      <c r="K61" s="67" t="s">
        <v>72</v>
      </c>
      <c r="L61" s="60">
        <v>46</v>
      </c>
    </row>
    <row r="62" spans="1:12" ht="18" customHeight="1" x14ac:dyDescent="0.2">
      <c r="A62" s="64">
        <v>60</v>
      </c>
      <c r="B62" s="64" t="s">
        <v>29</v>
      </c>
      <c r="C62" s="64" t="s">
        <v>136</v>
      </c>
      <c r="D62" s="64" t="s">
        <v>137</v>
      </c>
      <c r="E62" s="65">
        <v>45691</v>
      </c>
      <c r="F62" s="65">
        <v>45739</v>
      </c>
      <c r="G62" s="65">
        <v>45705</v>
      </c>
      <c r="H62" s="66">
        <v>9174.49</v>
      </c>
      <c r="I62" s="64" t="s">
        <v>138</v>
      </c>
      <c r="J62" s="66">
        <v>6789.1225999999997</v>
      </c>
      <c r="K62" s="67" t="s">
        <v>72</v>
      </c>
      <c r="L62" s="64">
        <v>14</v>
      </c>
    </row>
    <row r="63" spans="1:12" ht="18" customHeight="1" x14ac:dyDescent="0.2">
      <c r="A63" s="60">
        <v>61</v>
      </c>
      <c r="B63" s="60" t="s">
        <v>37</v>
      </c>
      <c r="C63" s="60" t="s">
        <v>48</v>
      </c>
      <c r="D63" s="60" t="s">
        <v>49</v>
      </c>
      <c r="E63" s="61">
        <v>45702</v>
      </c>
      <c r="F63" s="61">
        <v>45734</v>
      </c>
      <c r="G63" s="60"/>
      <c r="H63" s="62">
        <v>8315.06</v>
      </c>
      <c r="I63" s="60" t="s">
        <v>133</v>
      </c>
      <c r="J63" s="62">
        <v>8315.06</v>
      </c>
      <c r="K63" s="68" t="s">
        <v>95</v>
      </c>
      <c r="L63" s="60"/>
    </row>
    <row r="64" spans="1:12" ht="18" customHeight="1" x14ac:dyDescent="0.2">
      <c r="A64" s="64">
        <v>62</v>
      </c>
      <c r="B64" s="64" t="s">
        <v>37</v>
      </c>
      <c r="C64" s="64" t="s">
        <v>48</v>
      </c>
      <c r="D64" s="64" t="s">
        <v>49</v>
      </c>
      <c r="E64" s="65">
        <v>45803</v>
      </c>
      <c r="F64" s="65">
        <v>45836</v>
      </c>
      <c r="G64" s="65">
        <v>45846</v>
      </c>
      <c r="H64" s="66">
        <v>6812.59</v>
      </c>
      <c r="I64" s="64" t="s">
        <v>133</v>
      </c>
      <c r="J64" s="66">
        <v>6812.59</v>
      </c>
      <c r="K64" s="67" t="s">
        <v>72</v>
      </c>
      <c r="L64" s="64">
        <v>43</v>
      </c>
    </row>
    <row r="65" spans="1:12" ht="18" customHeight="1" x14ac:dyDescent="0.2">
      <c r="A65" s="60">
        <v>63</v>
      </c>
      <c r="B65" s="60" t="s">
        <v>29</v>
      </c>
      <c r="C65" s="60" t="s">
        <v>122</v>
      </c>
      <c r="D65" s="60" t="s">
        <v>132</v>
      </c>
      <c r="E65" s="61">
        <v>45798</v>
      </c>
      <c r="F65" s="61">
        <v>45830</v>
      </c>
      <c r="G65" s="61">
        <v>45815</v>
      </c>
      <c r="H65" s="62">
        <v>2991.87</v>
      </c>
      <c r="I65" s="60" t="s">
        <v>133</v>
      </c>
      <c r="J65" s="62">
        <v>2991.87</v>
      </c>
      <c r="K65" s="67" t="s">
        <v>72</v>
      </c>
      <c r="L65" s="60">
        <v>17</v>
      </c>
    </row>
    <row r="66" spans="1:12" ht="18" customHeight="1" x14ac:dyDescent="0.2">
      <c r="A66" s="64">
        <v>64</v>
      </c>
      <c r="B66" s="64" t="s">
        <v>29</v>
      </c>
      <c r="C66" s="64" t="s">
        <v>139</v>
      </c>
      <c r="D66" s="64" t="s">
        <v>140</v>
      </c>
      <c r="E66" s="65">
        <v>45785</v>
      </c>
      <c r="F66" s="65">
        <v>45830</v>
      </c>
      <c r="G66" s="64"/>
      <c r="H66" s="66">
        <v>1867.51</v>
      </c>
      <c r="I66" s="64" t="s">
        <v>133</v>
      </c>
      <c r="J66" s="66">
        <v>1867.51</v>
      </c>
      <c r="K66" s="63" t="s">
        <v>100</v>
      </c>
      <c r="L66" s="64"/>
    </row>
    <row r="67" spans="1:12" ht="18" customHeight="1" x14ac:dyDescent="0.2">
      <c r="A67" s="60">
        <v>65</v>
      </c>
      <c r="B67" s="60" t="s">
        <v>45</v>
      </c>
      <c r="C67" s="60" t="s">
        <v>139</v>
      </c>
      <c r="D67" s="60" t="s">
        <v>140</v>
      </c>
      <c r="E67" s="61">
        <v>45674</v>
      </c>
      <c r="F67" s="61">
        <v>45722</v>
      </c>
      <c r="G67" s="61">
        <v>45707</v>
      </c>
      <c r="H67" s="62">
        <v>5779.57</v>
      </c>
      <c r="I67" s="60" t="s">
        <v>138</v>
      </c>
      <c r="J67" s="62">
        <v>4276.8818000000001</v>
      </c>
      <c r="K67" s="67" t="s">
        <v>72</v>
      </c>
      <c r="L67" s="60">
        <v>33</v>
      </c>
    </row>
    <row r="68" spans="1:12" ht="18" customHeight="1" x14ac:dyDescent="0.2">
      <c r="A68" s="64">
        <v>66</v>
      </c>
      <c r="B68" s="64" t="s">
        <v>45</v>
      </c>
      <c r="C68" s="64" t="s">
        <v>40</v>
      </c>
      <c r="D68" s="64" t="s">
        <v>41</v>
      </c>
      <c r="E68" s="65">
        <v>45751</v>
      </c>
      <c r="F68" s="65">
        <v>45781</v>
      </c>
      <c r="G68" s="64"/>
      <c r="H68" s="66">
        <v>9401.4599999999991</v>
      </c>
      <c r="I68" s="64" t="s">
        <v>133</v>
      </c>
      <c r="J68" s="66">
        <v>9401.4599999999991</v>
      </c>
      <c r="K68" s="63" t="s">
        <v>100</v>
      </c>
      <c r="L68" s="64"/>
    </row>
    <row r="69" spans="1:12" ht="18" customHeight="1" x14ac:dyDescent="0.2">
      <c r="A69" s="60">
        <v>67</v>
      </c>
      <c r="B69" s="60" t="s">
        <v>45</v>
      </c>
      <c r="C69" s="60" t="s">
        <v>134</v>
      </c>
      <c r="D69" s="60" t="s">
        <v>135</v>
      </c>
      <c r="E69" s="61">
        <v>45711</v>
      </c>
      <c r="F69" s="61">
        <v>45741</v>
      </c>
      <c r="G69" s="61">
        <v>45742</v>
      </c>
      <c r="H69" s="62">
        <v>1166.3900000000001</v>
      </c>
      <c r="I69" s="60" t="s">
        <v>133</v>
      </c>
      <c r="J69" s="62">
        <v>1166.3900000000001</v>
      </c>
      <c r="K69" s="67" t="s">
        <v>72</v>
      </c>
      <c r="L69" s="60">
        <v>31</v>
      </c>
    </row>
    <row r="70" spans="1:12" ht="18" customHeight="1" x14ac:dyDescent="0.2">
      <c r="A70" s="64">
        <v>68</v>
      </c>
      <c r="B70" s="64" t="s">
        <v>29</v>
      </c>
      <c r="C70" s="64" t="s">
        <v>53</v>
      </c>
      <c r="D70" s="64" t="s">
        <v>41</v>
      </c>
      <c r="E70" s="65">
        <v>45756</v>
      </c>
      <c r="F70" s="65">
        <v>45773</v>
      </c>
      <c r="G70" s="65">
        <v>45781</v>
      </c>
      <c r="H70" s="66">
        <v>9747.76</v>
      </c>
      <c r="I70" s="64" t="s">
        <v>133</v>
      </c>
      <c r="J70" s="66">
        <v>9747.76</v>
      </c>
      <c r="K70" s="67" t="s">
        <v>72</v>
      </c>
      <c r="L70" s="64">
        <v>25</v>
      </c>
    </row>
    <row r="71" spans="1:12" ht="18" customHeight="1" x14ac:dyDescent="0.2">
      <c r="A71" s="60">
        <v>69</v>
      </c>
      <c r="B71" s="60" t="s">
        <v>37</v>
      </c>
      <c r="C71" s="60" t="s">
        <v>134</v>
      </c>
      <c r="D71" s="60" t="s">
        <v>135</v>
      </c>
      <c r="E71" s="61">
        <v>45713</v>
      </c>
      <c r="F71" s="61">
        <v>45744</v>
      </c>
      <c r="G71" s="61">
        <v>45754</v>
      </c>
      <c r="H71" s="62">
        <v>5920.55</v>
      </c>
      <c r="I71" s="60" t="s">
        <v>133</v>
      </c>
      <c r="J71" s="62">
        <v>5920.55</v>
      </c>
      <c r="K71" s="67" t="s">
        <v>72</v>
      </c>
      <c r="L71" s="60">
        <v>41</v>
      </c>
    </row>
    <row r="72" spans="1:12" ht="18" customHeight="1" x14ac:dyDescent="0.2">
      <c r="A72" s="64">
        <v>70</v>
      </c>
      <c r="B72" s="64" t="s">
        <v>45</v>
      </c>
      <c r="C72" s="64" t="s">
        <v>62</v>
      </c>
      <c r="D72" s="64" t="s">
        <v>33</v>
      </c>
      <c r="E72" s="65">
        <v>45725</v>
      </c>
      <c r="F72" s="65">
        <v>45757</v>
      </c>
      <c r="G72" s="65">
        <v>45763</v>
      </c>
      <c r="H72" s="66">
        <v>5385.57</v>
      </c>
      <c r="I72" s="64" t="s">
        <v>133</v>
      </c>
      <c r="J72" s="66">
        <v>5385.57</v>
      </c>
      <c r="K72" s="67" t="s">
        <v>72</v>
      </c>
      <c r="L72" s="64">
        <v>38</v>
      </c>
    </row>
    <row r="73" spans="1:12" ht="18" customHeight="1" x14ac:dyDescent="0.2">
      <c r="A73" s="60">
        <v>71</v>
      </c>
      <c r="B73" s="60" t="s">
        <v>37</v>
      </c>
      <c r="C73" s="60" t="s">
        <v>57</v>
      </c>
      <c r="D73" s="60" t="s">
        <v>58</v>
      </c>
      <c r="E73" s="61">
        <v>45694</v>
      </c>
      <c r="F73" s="61">
        <v>45724</v>
      </c>
      <c r="G73" s="61">
        <v>45712</v>
      </c>
      <c r="H73" s="62">
        <v>6343.83</v>
      </c>
      <c r="I73" s="60" t="s">
        <v>138</v>
      </c>
      <c r="J73" s="62">
        <v>4694.4341999999997</v>
      </c>
      <c r="K73" s="67" t="s">
        <v>72</v>
      </c>
      <c r="L73" s="60">
        <v>18</v>
      </c>
    </row>
    <row r="74" spans="1:12" ht="18" customHeight="1" x14ac:dyDescent="0.2">
      <c r="A74" s="64">
        <v>72</v>
      </c>
      <c r="B74" s="64" t="s">
        <v>37</v>
      </c>
      <c r="C74" s="64" t="s">
        <v>32</v>
      </c>
      <c r="D74" s="64" t="s">
        <v>33</v>
      </c>
      <c r="E74" s="65">
        <v>45733</v>
      </c>
      <c r="F74" s="65">
        <v>45766</v>
      </c>
      <c r="G74" s="65">
        <v>45755</v>
      </c>
      <c r="H74" s="66">
        <v>8368.2800000000007</v>
      </c>
      <c r="I74" s="64" t="s">
        <v>133</v>
      </c>
      <c r="J74" s="66">
        <v>8368.2800000000007</v>
      </c>
      <c r="K74" s="67" t="s">
        <v>72</v>
      </c>
      <c r="L74" s="64">
        <v>22</v>
      </c>
    </row>
    <row r="75" spans="1:12" ht="18" customHeight="1" x14ac:dyDescent="0.2">
      <c r="A75" s="60">
        <v>73</v>
      </c>
      <c r="B75" s="60" t="s">
        <v>37</v>
      </c>
      <c r="C75" s="60" t="s">
        <v>136</v>
      </c>
      <c r="D75" s="60" t="s">
        <v>137</v>
      </c>
      <c r="E75" s="61">
        <v>45668</v>
      </c>
      <c r="F75" s="61">
        <v>45715</v>
      </c>
      <c r="G75" s="61">
        <v>45697</v>
      </c>
      <c r="H75" s="62">
        <v>8061.82</v>
      </c>
      <c r="I75" s="60" t="s">
        <v>138</v>
      </c>
      <c r="J75" s="62">
        <v>5965.7467999999999</v>
      </c>
      <c r="K75" s="67" t="s">
        <v>72</v>
      </c>
      <c r="L75" s="60">
        <v>29</v>
      </c>
    </row>
    <row r="76" spans="1:12" ht="18" customHeight="1" x14ac:dyDescent="0.2">
      <c r="A76" s="64">
        <v>74</v>
      </c>
      <c r="B76" s="64" t="s">
        <v>45</v>
      </c>
      <c r="C76" s="64" t="s">
        <v>136</v>
      </c>
      <c r="D76" s="64" t="s">
        <v>137</v>
      </c>
      <c r="E76" s="65">
        <v>45684</v>
      </c>
      <c r="F76" s="65">
        <v>45729</v>
      </c>
      <c r="G76" s="65">
        <v>45691</v>
      </c>
      <c r="H76" s="66">
        <v>5163.51</v>
      </c>
      <c r="I76" s="64" t="s">
        <v>133</v>
      </c>
      <c r="J76" s="66">
        <v>5163.51</v>
      </c>
      <c r="K76" s="67" t="s">
        <v>72</v>
      </c>
      <c r="L76" s="64">
        <v>7</v>
      </c>
    </row>
    <row r="77" spans="1:12" ht="18" customHeight="1" x14ac:dyDescent="0.2">
      <c r="A77" s="60">
        <v>75</v>
      </c>
      <c r="B77" s="60" t="s">
        <v>29</v>
      </c>
      <c r="C77" s="60" t="s">
        <v>40</v>
      </c>
      <c r="D77" s="60" t="s">
        <v>41</v>
      </c>
      <c r="E77" s="61">
        <v>45717</v>
      </c>
      <c r="F77" s="61">
        <v>45750</v>
      </c>
      <c r="G77" s="61">
        <v>45759</v>
      </c>
      <c r="H77" s="62">
        <v>6389.97</v>
      </c>
      <c r="I77" s="60" t="s">
        <v>138</v>
      </c>
      <c r="J77" s="62">
        <v>4728.5778</v>
      </c>
      <c r="K77" s="67" t="s">
        <v>72</v>
      </c>
      <c r="L77" s="60">
        <v>42</v>
      </c>
    </row>
    <row r="78" spans="1:12" ht="18" customHeight="1" x14ac:dyDescent="0.2">
      <c r="A78" s="64">
        <v>76</v>
      </c>
      <c r="B78" s="64" t="s">
        <v>45</v>
      </c>
      <c r="C78" s="64" t="s">
        <v>122</v>
      </c>
      <c r="D78" s="64" t="s">
        <v>132</v>
      </c>
      <c r="E78" s="65">
        <v>45744</v>
      </c>
      <c r="F78" s="65">
        <v>45777</v>
      </c>
      <c r="G78" s="65">
        <v>45791</v>
      </c>
      <c r="H78" s="66">
        <v>7185.05</v>
      </c>
      <c r="I78" s="64" t="s">
        <v>133</v>
      </c>
      <c r="J78" s="66">
        <v>7185.05</v>
      </c>
      <c r="K78" s="67" t="s">
        <v>72</v>
      </c>
      <c r="L78" s="64">
        <v>47</v>
      </c>
    </row>
    <row r="79" spans="1:12" ht="18" customHeight="1" x14ac:dyDescent="0.2">
      <c r="A79" s="60">
        <v>77</v>
      </c>
      <c r="B79" s="60" t="s">
        <v>45</v>
      </c>
      <c r="C79" s="60" t="s">
        <v>40</v>
      </c>
      <c r="D79" s="60" t="s">
        <v>41</v>
      </c>
      <c r="E79" s="61">
        <v>45694</v>
      </c>
      <c r="F79" s="61">
        <v>45726</v>
      </c>
      <c r="G79" s="60"/>
      <c r="H79" s="62">
        <v>6917.53</v>
      </c>
      <c r="I79" s="60" t="s">
        <v>138</v>
      </c>
      <c r="J79" s="62">
        <v>5118.9722000000002</v>
      </c>
      <c r="K79" s="63" t="s">
        <v>100</v>
      </c>
      <c r="L79" s="60"/>
    </row>
    <row r="80" spans="1:12" ht="18" customHeight="1" x14ac:dyDescent="0.2">
      <c r="A80" s="64">
        <v>78</v>
      </c>
      <c r="B80" s="64" t="s">
        <v>45</v>
      </c>
      <c r="C80" s="64" t="s">
        <v>136</v>
      </c>
      <c r="D80" s="64" t="s">
        <v>137</v>
      </c>
      <c r="E80" s="65">
        <v>45800</v>
      </c>
      <c r="F80" s="65">
        <v>45846</v>
      </c>
      <c r="G80" s="65">
        <v>45816</v>
      </c>
      <c r="H80" s="66">
        <v>7765.22</v>
      </c>
      <c r="I80" s="64" t="s">
        <v>138</v>
      </c>
      <c r="J80" s="66">
        <v>5746.2628000000004</v>
      </c>
      <c r="K80" s="67" t="s">
        <v>72</v>
      </c>
      <c r="L80" s="64">
        <v>16</v>
      </c>
    </row>
    <row r="81" spans="1:12" ht="18" customHeight="1" x14ac:dyDescent="0.2">
      <c r="A81" s="60">
        <v>79</v>
      </c>
      <c r="B81" s="60" t="s">
        <v>45</v>
      </c>
      <c r="C81" s="60" t="s">
        <v>134</v>
      </c>
      <c r="D81" s="60" t="s">
        <v>135</v>
      </c>
      <c r="E81" s="61">
        <v>45778</v>
      </c>
      <c r="F81" s="61">
        <v>45809</v>
      </c>
      <c r="G81" s="61">
        <v>45822</v>
      </c>
      <c r="H81" s="62">
        <v>5148.3</v>
      </c>
      <c r="I81" s="60" t="s">
        <v>138</v>
      </c>
      <c r="J81" s="62">
        <v>3809.7420000000002</v>
      </c>
      <c r="K81" s="67" t="s">
        <v>72</v>
      </c>
      <c r="L81" s="60">
        <v>44</v>
      </c>
    </row>
    <row r="82" spans="1:12" ht="18" customHeight="1" x14ac:dyDescent="0.2">
      <c r="A82" s="64">
        <v>80</v>
      </c>
      <c r="B82" s="64" t="s">
        <v>37</v>
      </c>
      <c r="C82" s="64" t="s">
        <v>48</v>
      </c>
      <c r="D82" s="64" t="s">
        <v>49</v>
      </c>
      <c r="E82" s="65">
        <v>45767</v>
      </c>
      <c r="F82" s="65">
        <v>45800</v>
      </c>
      <c r="G82" s="65">
        <v>45812</v>
      </c>
      <c r="H82" s="66">
        <v>4407.92</v>
      </c>
      <c r="I82" s="64" t="s">
        <v>138</v>
      </c>
      <c r="J82" s="66">
        <v>3261.8607999999999</v>
      </c>
      <c r="K82" s="67" t="s">
        <v>72</v>
      </c>
      <c r="L82" s="64">
        <v>45</v>
      </c>
    </row>
    <row r="83" spans="1:12" ht="18" customHeight="1" x14ac:dyDescent="0.2">
      <c r="A83" s="60">
        <v>81</v>
      </c>
      <c r="B83" s="60" t="s">
        <v>45</v>
      </c>
      <c r="C83" s="60" t="s">
        <v>48</v>
      </c>
      <c r="D83" s="60" t="s">
        <v>49</v>
      </c>
      <c r="E83" s="61">
        <v>45741</v>
      </c>
      <c r="F83" s="61">
        <v>45774</v>
      </c>
      <c r="G83" s="60"/>
      <c r="H83" s="62">
        <v>7194.19</v>
      </c>
      <c r="I83" s="60" t="s">
        <v>133</v>
      </c>
      <c r="J83" s="62">
        <v>7194.19</v>
      </c>
      <c r="K83" s="63" t="s">
        <v>100</v>
      </c>
      <c r="L83" s="60"/>
    </row>
    <row r="84" spans="1:12" ht="18" customHeight="1" x14ac:dyDescent="0.2">
      <c r="A84" s="64">
        <v>82</v>
      </c>
      <c r="B84" s="64" t="s">
        <v>29</v>
      </c>
      <c r="C84" s="64" t="s">
        <v>32</v>
      </c>
      <c r="D84" s="64" t="s">
        <v>33</v>
      </c>
      <c r="E84" s="65">
        <v>45719</v>
      </c>
      <c r="F84" s="65">
        <v>45752</v>
      </c>
      <c r="G84" s="65">
        <v>45769</v>
      </c>
      <c r="H84" s="66">
        <v>2488.91</v>
      </c>
      <c r="I84" s="64" t="s">
        <v>133</v>
      </c>
      <c r="J84" s="66">
        <v>2488.91</v>
      </c>
      <c r="K84" s="67" t="s">
        <v>72</v>
      </c>
      <c r="L84" s="64">
        <v>50</v>
      </c>
    </row>
    <row r="85" spans="1:12" ht="18" customHeight="1" x14ac:dyDescent="0.2">
      <c r="A85" s="60">
        <v>83</v>
      </c>
      <c r="B85" s="60" t="s">
        <v>37</v>
      </c>
      <c r="C85" s="60" t="s">
        <v>53</v>
      </c>
      <c r="D85" s="60" t="s">
        <v>41</v>
      </c>
      <c r="E85" s="61">
        <v>45709</v>
      </c>
      <c r="F85" s="61">
        <v>45727</v>
      </c>
      <c r="G85" s="61">
        <v>45714</v>
      </c>
      <c r="H85" s="62">
        <v>3612.25</v>
      </c>
      <c r="I85" s="60" t="s">
        <v>133</v>
      </c>
      <c r="J85" s="62">
        <v>3612.25</v>
      </c>
      <c r="K85" s="67" t="s">
        <v>72</v>
      </c>
      <c r="L85" s="60">
        <v>5</v>
      </c>
    </row>
    <row r="86" spans="1:12" ht="18" customHeight="1" x14ac:dyDescent="0.2">
      <c r="A86" s="64">
        <v>84</v>
      </c>
      <c r="B86" s="64" t="s">
        <v>29</v>
      </c>
      <c r="C86" s="64" t="s">
        <v>32</v>
      </c>
      <c r="D86" s="64" t="s">
        <v>33</v>
      </c>
      <c r="E86" s="65">
        <v>45797</v>
      </c>
      <c r="F86" s="65">
        <v>45829</v>
      </c>
      <c r="G86" s="65">
        <v>45846</v>
      </c>
      <c r="H86" s="66">
        <v>659.7</v>
      </c>
      <c r="I86" s="64" t="s">
        <v>133</v>
      </c>
      <c r="J86" s="66">
        <v>659.7</v>
      </c>
      <c r="K86" s="67" t="s">
        <v>72</v>
      </c>
      <c r="L86" s="64">
        <v>49</v>
      </c>
    </row>
    <row r="87" spans="1:12" ht="18" customHeight="1" x14ac:dyDescent="0.2">
      <c r="A87" s="60">
        <v>85</v>
      </c>
      <c r="B87" s="60" t="s">
        <v>45</v>
      </c>
      <c r="C87" s="60" t="s">
        <v>134</v>
      </c>
      <c r="D87" s="60" t="s">
        <v>135</v>
      </c>
      <c r="E87" s="61">
        <v>45782</v>
      </c>
      <c r="F87" s="61">
        <v>45815</v>
      </c>
      <c r="G87" s="61">
        <v>45791</v>
      </c>
      <c r="H87" s="62">
        <v>8025.98</v>
      </c>
      <c r="I87" s="60" t="s">
        <v>133</v>
      </c>
      <c r="J87" s="62">
        <v>8025.98</v>
      </c>
      <c r="K87" s="67" t="s">
        <v>72</v>
      </c>
      <c r="L87" s="60">
        <v>9</v>
      </c>
    </row>
    <row r="88" spans="1:12" ht="18" customHeight="1" x14ac:dyDescent="0.2">
      <c r="A88" s="64">
        <v>86</v>
      </c>
      <c r="B88" s="64" t="s">
        <v>29</v>
      </c>
      <c r="C88" s="64" t="s">
        <v>139</v>
      </c>
      <c r="D88" s="64" t="s">
        <v>140</v>
      </c>
      <c r="E88" s="65">
        <v>45742</v>
      </c>
      <c r="F88" s="65">
        <v>45790</v>
      </c>
      <c r="G88" s="64"/>
      <c r="H88" s="66">
        <v>3718.93</v>
      </c>
      <c r="I88" s="64" t="s">
        <v>138</v>
      </c>
      <c r="J88" s="66">
        <v>2752.0082000000002</v>
      </c>
      <c r="K88" s="63" t="s">
        <v>100</v>
      </c>
      <c r="L88" s="64"/>
    </row>
    <row r="89" spans="1:12" ht="18" customHeight="1" x14ac:dyDescent="0.2">
      <c r="A89" s="60">
        <v>87</v>
      </c>
      <c r="B89" s="60" t="s">
        <v>37</v>
      </c>
      <c r="C89" s="60" t="s">
        <v>139</v>
      </c>
      <c r="D89" s="60" t="s">
        <v>140</v>
      </c>
      <c r="E89" s="61">
        <v>45723</v>
      </c>
      <c r="F89" s="61">
        <v>45768</v>
      </c>
      <c r="G89" s="61">
        <v>45732</v>
      </c>
      <c r="H89" s="62">
        <v>1007.55</v>
      </c>
      <c r="I89" s="60" t="s">
        <v>133</v>
      </c>
      <c r="J89" s="62">
        <v>1007.55</v>
      </c>
      <c r="K89" s="67" t="s">
        <v>72</v>
      </c>
      <c r="L89" s="60">
        <v>9</v>
      </c>
    </row>
    <row r="90" spans="1:12" ht="18" customHeight="1" x14ac:dyDescent="0.2">
      <c r="A90" s="64">
        <v>88</v>
      </c>
      <c r="B90" s="64" t="s">
        <v>29</v>
      </c>
      <c r="C90" s="64" t="s">
        <v>53</v>
      </c>
      <c r="D90" s="64" t="s">
        <v>41</v>
      </c>
      <c r="E90" s="65">
        <v>45769</v>
      </c>
      <c r="F90" s="65">
        <v>45787</v>
      </c>
      <c r="G90" s="65">
        <v>45774</v>
      </c>
      <c r="H90" s="66">
        <v>9374.58</v>
      </c>
      <c r="I90" s="64" t="s">
        <v>138</v>
      </c>
      <c r="J90" s="66">
        <v>6937.1891999999998</v>
      </c>
      <c r="K90" s="67" t="s">
        <v>72</v>
      </c>
      <c r="L90" s="64">
        <v>5</v>
      </c>
    </row>
    <row r="91" spans="1:12" ht="18" customHeight="1" x14ac:dyDescent="0.2">
      <c r="A91" s="60">
        <v>89</v>
      </c>
      <c r="B91" s="60" t="s">
        <v>29</v>
      </c>
      <c r="C91" s="60" t="s">
        <v>32</v>
      </c>
      <c r="D91" s="60" t="s">
        <v>33</v>
      </c>
      <c r="E91" s="61">
        <v>45752</v>
      </c>
      <c r="F91" s="61">
        <v>45784</v>
      </c>
      <c r="G91" s="61">
        <v>45762</v>
      </c>
      <c r="H91" s="62">
        <v>1386.71</v>
      </c>
      <c r="I91" s="60" t="s">
        <v>138</v>
      </c>
      <c r="J91" s="62">
        <v>1026.1654000000001</v>
      </c>
      <c r="K91" s="67" t="s">
        <v>72</v>
      </c>
      <c r="L91" s="60">
        <v>10</v>
      </c>
    </row>
    <row r="92" spans="1:12" ht="18" customHeight="1" x14ac:dyDescent="0.2">
      <c r="A92" s="64">
        <v>90</v>
      </c>
      <c r="B92" s="64" t="s">
        <v>29</v>
      </c>
      <c r="C92" s="64" t="s">
        <v>40</v>
      </c>
      <c r="D92" s="64" t="s">
        <v>41</v>
      </c>
      <c r="E92" s="65">
        <v>45740</v>
      </c>
      <c r="F92" s="65">
        <v>45770</v>
      </c>
      <c r="G92" s="65">
        <v>45759</v>
      </c>
      <c r="H92" s="66">
        <v>7088.69</v>
      </c>
      <c r="I92" s="64" t="s">
        <v>133</v>
      </c>
      <c r="J92" s="66">
        <v>7088.69</v>
      </c>
      <c r="K92" s="67" t="s">
        <v>72</v>
      </c>
      <c r="L92" s="64">
        <v>19</v>
      </c>
    </row>
    <row r="93" spans="1:12" ht="18" customHeight="1" x14ac:dyDescent="0.2">
      <c r="A93" s="60">
        <v>91</v>
      </c>
      <c r="B93" s="60" t="s">
        <v>29</v>
      </c>
      <c r="C93" s="60" t="s">
        <v>57</v>
      </c>
      <c r="D93" s="60" t="s">
        <v>58</v>
      </c>
      <c r="E93" s="61">
        <v>45778</v>
      </c>
      <c r="F93" s="61">
        <v>45810</v>
      </c>
      <c r="G93" s="61">
        <v>45834</v>
      </c>
      <c r="H93" s="62">
        <v>537.70000000000005</v>
      </c>
      <c r="I93" s="60" t="s">
        <v>138</v>
      </c>
      <c r="J93" s="62">
        <v>397.89800000000002</v>
      </c>
      <c r="K93" s="67" t="s">
        <v>72</v>
      </c>
      <c r="L93" s="60">
        <v>56</v>
      </c>
    </row>
    <row r="94" spans="1:12" ht="18" customHeight="1" x14ac:dyDescent="0.2">
      <c r="A94" s="64">
        <v>92</v>
      </c>
      <c r="B94" s="64" t="s">
        <v>37</v>
      </c>
      <c r="C94" s="64" t="s">
        <v>139</v>
      </c>
      <c r="D94" s="64" t="s">
        <v>140</v>
      </c>
      <c r="E94" s="65">
        <v>45742</v>
      </c>
      <c r="F94" s="65">
        <v>45788</v>
      </c>
      <c r="G94" s="65">
        <v>45800</v>
      </c>
      <c r="H94" s="66">
        <v>3259.12</v>
      </c>
      <c r="I94" s="64" t="s">
        <v>133</v>
      </c>
      <c r="J94" s="66">
        <v>3259.12</v>
      </c>
      <c r="K94" s="67" t="s">
        <v>72</v>
      </c>
      <c r="L94" s="64">
        <v>58</v>
      </c>
    </row>
    <row r="95" spans="1:12" ht="18" customHeight="1" x14ac:dyDescent="0.2">
      <c r="A95" s="60">
        <v>93</v>
      </c>
      <c r="B95" s="60" t="s">
        <v>37</v>
      </c>
      <c r="C95" s="60" t="s">
        <v>53</v>
      </c>
      <c r="D95" s="60" t="s">
        <v>41</v>
      </c>
      <c r="E95" s="61">
        <v>45781</v>
      </c>
      <c r="F95" s="61">
        <v>45798</v>
      </c>
      <c r="G95" s="61">
        <v>45815</v>
      </c>
      <c r="H95" s="62">
        <v>8113.44</v>
      </c>
      <c r="I95" s="60" t="s">
        <v>133</v>
      </c>
      <c r="J95" s="62">
        <v>8113.44</v>
      </c>
      <c r="K95" s="67" t="s">
        <v>72</v>
      </c>
      <c r="L95" s="60">
        <v>34</v>
      </c>
    </row>
    <row r="96" spans="1:12" ht="18" customHeight="1" x14ac:dyDescent="0.2">
      <c r="A96" s="64">
        <v>94</v>
      </c>
      <c r="B96" s="64" t="s">
        <v>29</v>
      </c>
      <c r="C96" s="64" t="s">
        <v>122</v>
      </c>
      <c r="D96" s="64" t="s">
        <v>132</v>
      </c>
      <c r="E96" s="65">
        <v>45678</v>
      </c>
      <c r="F96" s="65">
        <v>45711</v>
      </c>
      <c r="G96" s="65">
        <v>45739</v>
      </c>
      <c r="H96" s="66">
        <v>6184.09</v>
      </c>
      <c r="I96" s="64" t="s">
        <v>133</v>
      </c>
      <c r="J96" s="66">
        <v>6184.09</v>
      </c>
      <c r="K96" s="67" t="s">
        <v>72</v>
      </c>
      <c r="L96" s="64">
        <v>61</v>
      </c>
    </row>
    <row r="97" spans="1:12" ht="18" customHeight="1" x14ac:dyDescent="0.2">
      <c r="A97" s="60">
        <v>95</v>
      </c>
      <c r="B97" s="60" t="s">
        <v>29</v>
      </c>
      <c r="C97" s="60" t="s">
        <v>57</v>
      </c>
      <c r="D97" s="60" t="s">
        <v>58</v>
      </c>
      <c r="E97" s="61">
        <v>45802</v>
      </c>
      <c r="F97" s="61">
        <v>45833</v>
      </c>
      <c r="G97" s="61">
        <v>45812</v>
      </c>
      <c r="H97" s="62">
        <v>7022.39</v>
      </c>
      <c r="I97" s="60" t="s">
        <v>138</v>
      </c>
      <c r="J97" s="62">
        <v>5196.5685999999996</v>
      </c>
      <c r="K97" s="67" t="s">
        <v>72</v>
      </c>
      <c r="L97" s="60">
        <v>10</v>
      </c>
    </row>
    <row r="98" spans="1:12" ht="18" customHeight="1" x14ac:dyDescent="0.2">
      <c r="A98" s="64">
        <v>96</v>
      </c>
      <c r="B98" s="64" t="s">
        <v>45</v>
      </c>
      <c r="C98" s="64" t="s">
        <v>57</v>
      </c>
      <c r="D98" s="64" t="s">
        <v>58</v>
      </c>
      <c r="E98" s="65">
        <v>45727</v>
      </c>
      <c r="F98" s="65">
        <v>45758</v>
      </c>
      <c r="G98" s="64"/>
      <c r="H98" s="66">
        <v>9098.81</v>
      </c>
      <c r="I98" s="64" t="s">
        <v>138</v>
      </c>
      <c r="J98" s="66">
        <v>6733.1193999999996</v>
      </c>
      <c r="K98" s="63" t="s">
        <v>100</v>
      </c>
      <c r="L98" s="64"/>
    </row>
    <row r="99" spans="1:12" ht="18" customHeight="1" x14ac:dyDescent="0.2">
      <c r="A99" s="60">
        <v>97</v>
      </c>
      <c r="B99" s="60" t="s">
        <v>45</v>
      </c>
      <c r="C99" s="60" t="s">
        <v>48</v>
      </c>
      <c r="D99" s="60" t="s">
        <v>49</v>
      </c>
      <c r="E99" s="61">
        <v>45807</v>
      </c>
      <c r="F99" s="61">
        <v>45840</v>
      </c>
      <c r="G99" s="60"/>
      <c r="H99" s="62">
        <v>7003.34</v>
      </c>
      <c r="I99" s="60" t="s">
        <v>133</v>
      </c>
      <c r="J99" s="62">
        <v>7003.34</v>
      </c>
      <c r="K99" s="68" t="s">
        <v>95</v>
      </c>
      <c r="L99" s="60"/>
    </row>
    <row r="100" spans="1:12" ht="18" customHeight="1" x14ac:dyDescent="0.2">
      <c r="A100" s="64">
        <v>98</v>
      </c>
      <c r="B100" s="64" t="s">
        <v>37</v>
      </c>
      <c r="C100" s="64" t="s">
        <v>32</v>
      </c>
      <c r="D100" s="64" t="s">
        <v>33</v>
      </c>
      <c r="E100" s="65">
        <v>45808</v>
      </c>
      <c r="F100" s="65">
        <v>45839</v>
      </c>
      <c r="G100" s="65">
        <v>45858</v>
      </c>
      <c r="H100" s="66">
        <v>3182.24</v>
      </c>
      <c r="I100" s="64" t="s">
        <v>133</v>
      </c>
      <c r="J100" s="66">
        <v>3182.24</v>
      </c>
      <c r="K100" s="67" t="s">
        <v>72</v>
      </c>
      <c r="L100" s="64">
        <v>50</v>
      </c>
    </row>
    <row r="101" spans="1:12" ht="18" customHeight="1" x14ac:dyDescent="0.2">
      <c r="A101" s="60">
        <v>99</v>
      </c>
      <c r="B101" s="60" t="s">
        <v>37</v>
      </c>
      <c r="C101" s="60" t="s">
        <v>53</v>
      </c>
      <c r="D101" s="60" t="s">
        <v>41</v>
      </c>
      <c r="E101" s="61">
        <v>45726</v>
      </c>
      <c r="F101" s="61">
        <v>45742</v>
      </c>
      <c r="G101" s="61">
        <v>45750</v>
      </c>
      <c r="H101" s="62">
        <v>2074.44</v>
      </c>
      <c r="I101" s="60" t="s">
        <v>133</v>
      </c>
      <c r="J101" s="62">
        <v>2074.44</v>
      </c>
      <c r="K101" s="67" t="s">
        <v>72</v>
      </c>
      <c r="L101" s="60">
        <v>24</v>
      </c>
    </row>
    <row r="102" spans="1:12" ht="18" customHeight="1" x14ac:dyDescent="0.2">
      <c r="A102" s="64">
        <v>100</v>
      </c>
      <c r="B102" s="64" t="s">
        <v>29</v>
      </c>
      <c r="C102" s="64" t="s">
        <v>139</v>
      </c>
      <c r="D102" s="64" t="s">
        <v>140</v>
      </c>
      <c r="E102" s="65">
        <v>45772</v>
      </c>
      <c r="F102" s="65">
        <v>45817</v>
      </c>
      <c r="G102" s="64"/>
      <c r="H102" s="66">
        <v>6301.97</v>
      </c>
      <c r="I102" s="64" t="s">
        <v>133</v>
      </c>
      <c r="J102" s="66">
        <v>6301.97</v>
      </c>
      <c r="K102" s="68" t="s">
        <v>95</v>
      </c>
      <c r="L102" s="64"/>
    </row>
    <row r="103" spans="1:12" ht="18" customHeight="1" x14ac:dyDescent="0.2">
      <c r="A103" s="60">
        <v>101</v>
      </c>
      <c r="B103" s="60" t="s">
        <v>29</v>
      </c>
      <c r="C103" s="60" t="s">
        <v>134</v>
      </c>
      <c r="D103" s="60" t="s">
        <v>135</v>
      </c>
      <c r="E103" s="61">
        <v>45683</v>
      </c>
      <c r="F103" s="61">
        <v>45714</v>
      </c>
      <c r="G103" s="61">
        <v>45685</v>
      </c>
      <c r="H103" s="62">
        <v>1912.58</v>
      </c>
      <c r="I103" s="60" t="s">
        <v>138</v>
      </c>
      <c r="J103" s="62">
        <v>1415.3091999999999</v>
      </c>
      <c r="K103" s="67" t="s">
        <v>72</v>
      </c>
      <c r="L103" s="60">
        <v>2</v>
      </c>
    </row>
    <row r="104" spans="1:12" ht="18" customHeight="1" x14ac:dyDescent="0.2">
      <c r="A104" s="64">
        <v>102</v>
      </c>
      <c r="B104" s="64" t="s">
        <v>29</v>
      </c>
      <c r="C104" s="64" t="s">
        <v>136</v>
      </c>
      <c r="D104" s="64" t="s">
        <v>137</v>
      </c>
      <c r="E104" s="65">
        <v>45682</v>
      </c>
      <c r="F104" s="65">
        <v>45727</v>
      </c>
      <c r="G104" s="65">
        <v>45728</v>
      </c>
      <c r="H104" s="66">
        <v>1199.8399999999999</v>
      </c>
      <c r="I104" s="64" t="s">
        <v>133</v>
      </c>
      <c r="J104" s="66">
        <v>1199.8399999999999</v>
      </c>
      <c r="K104" s="67" t="s">
        <v>72</v>
      </c>
      <c r="L104" s="64">
        <v>46</v>
      </c>
    </row>
    <row r="105" spans="1:12" ht="18" customHeight="1" x14ac:dyDescent="0.2">
      <c r="A105" s="60">
        <v>103</v>
      </c>
      <c r="B105" s="60" t="s">
        <v>37</v>
      </c>
      <c r="C105" s="60" t="s">
        <v>122</v>
      </c>
      <c r="D105" s="60" t="s">
        <v>132</v>
      </c>
      <c r="E105" s="61">
        <v>45701</v>
      </c>
      <c r="F105" s="61">
        <v>45734</v>
      </c>
      <c r="G105" s="61">
        <v>45749</v>
      </c>
      <c r="H105" s="62">
        <v>4118.17</v>
      </c>
      <c r="I105" s="60" t="s">
        <v>133</v>
      </c>
      <c r="J105" s="62">
        <v>4118.17</v>
      </c>
      <c r="K105" s="67" t="s">
        <v>72</v>
      </c>
      <c r="L105" s="60">
        <v>48</v>
      </c>
    </row>
    <row r="106" spans="1:12" ht="18" customHeight="1" x14ac:dyDescent="0.2">
      <c r="A106" s="64">
        <v>104</v>
      </c>
      <c r="B106" s="64" t="s">
        <v>45</v>
      </c>
      <c r="C106" s="64" t="s">
        <v>53</v>
      </c>
      <c r="D106" s="64" t="s">
        <v>41</v>
      </c>
      <c r="E106" s="65">
        <v>45737</v>
      </c>
      <c r="F106" s="65">
        <v>45755</v>
      </c>
      <c r="G106" s="65">
        <v>45752</v>
      </c>
      <c r="H106" s="66">
        <v>9161.3799999999992</v>
      </c>
      <c r="I106" s="64" t="s">
        <v>133</v>
      </c>
      <c r="J106" s="66">
        <v>9161.3799999999992</v>
      </c>
      <c r="K106" s="67" t="s">
        <v>72</v>
      </c>
      <c r="L106" s="64">
        <v>15</v>
      </c>
    </row>
    <row r="107" spans="1:12" ht="18" customHeight="1" x14ac:dyDescent="0.2">
      <c r="A107" s="60">
        <v>105</v>
      </c>
      <c r="B107" s="60" t="s">
        <v>37</v>
      </c>
      <c r="C107" s="60" t="s">
        <v>139</v>
      </c>
      <c r="D107" s="60" t="s">
        <v>140</v>
      </c>
      <c r="E107" s="61">
        <v>45734</v>
      </c>
      <c r="F107" s="61">
        <v>45782</v>
      </c>
      <c r="G107" s="60"/>
      <c r="H107" s="62">
        <v>1756.81</v>
      </c>
      <c r="I107" s="60" t="s">
        <v>133</v>
      </c>
      <c r="J107" s="62">
        <v>1756.81</v>
      </c>
      <c r="K107" s="63" t="s">
        <v>100</v>
      </c>
      <c r="L107" s="60"/>
    </row>
    <row r="108" spans="1:12" ht="18" customHeight="1" x14ac:dyDescent="0.2">
      <c r="A108" s="64">
        <v>106</v>
      </c>
      <c r="B108" s="64" t="s">
        <v>37</v>
      </c>
      <c r="C108" s="64" t="s">
        <v>53</v>
      </c>
      <c r="D108" s="64" t="s">
        <v>41</v>
      </c>
      <c r="E108" s="65">
        <v>45688</v>
      </c>
      <c r="F108" s="65">
        <v>45703</v>
      </c>
      <c r="G108" s="65">
        <v>45732</v>
      </c>
      <c r="H108" s="66">
        <v>359.85</v>
      </c>
      <c r="I108" s="64" t="s">
        <v>138</v>
      </c>
      <c r="J108" s="66">
        <v>266.28899999999999</v>
      </c>
      <c r="K108" s="67" t="s">
        <v>72</v>
      </c>
      <c r="L108" s="64">
        <v>44</v>
      </c>
    </row>
    <row r="109" spans="1:12" ht="18" customHeight="1" x14ac:dyDescent="0.2">
      <c r="A109" s="60">
        <v>107</v>
      </c>
      <c r="B109" s="60" t="s">
        <v>37</v>
      </c>
      <c r="C109" s="60" t="s">
        <v>40</v>
      </c>
      <c r="D109" s="60" t="s">
        <v>41</v>
      </c>
      <c r="E109" s="61">
        <v>45717</v>
      </c>
      <c r="F109" s="61">
        <v>45750</v>
      </c>
      <c r="G109" s="61">
        <v>45733</v>
      </c>
      <c r="H109" s="62">
        <v>5704.29</v>
      </c>
      <c r="I109" s="60" t="s">
        <v>133</v>
      </c>
      <c r="J109" s="62">
        <v>5704.29</v>
      </c>
      <c r="K109" s="67" t="s">
        <v>72</v>
      </c>
      <c r="L109" s="60">
        <v>16</v>
      </c>
    </row>
    <row r="110" spans="1:12" ht="18" customHeight="1" x14ac:dyDescent="0.2">
      <c r="A110" s="64">
        <v>108</v>
      </c>
      <c r="B110" s="64" t="s">
        <v>37</v>
      </c>
      <c r="C110" s="64" t="s">
        <v>136</v>
      </c>
      <c r="D110" s="64" t="s">
        <v>137</v>
      </c>
      <c r="E110" s="65">
        <v>45710</v>
      </c>
      <c r="F110" s="65">
        <v>45756</v>
      </c>
      <c r="G110" s="65">
        <v>45712</v>
      </c>
      <c r="H110" s="66">
        <v>4218.55</v>
      </c>
      <c r="I110" s="64" t="s">
        <v>133</v>
      </c>
      <c r="J110" s="66">
        <v>4218.55</v>
      </c>
      <c r="K110" s="67" t="s">
        <v>72</v>
      </c>
      <c r="L110" s="64">
        <v>2</v>
      </c>
    </row>
    <row r="111" spans="1:12" ht="18" customHeight="1" x14ac:dyDescent="0.2">
      <c r="A111" s="60">
        <v>109</v>
      </c>
      <c r="B111" s="60" t="s">
        <v>29</v>
      </c>
      <c r="C111" s="60" t="s">
        <v>48</v>
      </c>
      <c r="D111" s="60" t="s">
        <v>49</v>
      </c>
      <c r="E111" s="61">
        <v>45705</v>
      </c>
      <c r="F111" s="61">
        <v>45738</v>
      </c>
      <c r="G111" s="61">
        <v>45736</v>
      </c>
      <c r="H111" s="62">
        <v>5536.48</v>
      </c>
      <c r="I111" s="60" t="s">
        <v>133</v>
      </c>
      <c r="J111" s="62">
        <v>5536.48</v>
      </c>
      <c r="K111" s="67" t="s">
        <v>72</v>
      </c>
      <c r="L111" s="60">
        <v>31</v>
      </c>
    </row>
    <row r="112" spans="1:12" ht="18" customHeight="1" x14ac:dyDescent="0.2">
      <c r="A112" s="64">
        <v>110</v>
      </c>
      <c r="B112" s="64" t="s">
        <v>29</v>
      </c>
      <c r="C112" s="64" t="s">
        <v>134</v>
      </c>
      <c r="D112" s="64" t="s">
        <v>135</v>
      </c>
      <c r="E112" s="65">
        <v>45694</v>
      </c>
      <c r="F112" s="65">
        <v>45726</v>
      </c>
      <c r="G112" s="64"/>
      <c r="H112" s="66">
        <v>8536.84</v>
      </c>
      <c r="I112" s="64" t="s">
        <v>133</v>
      </c>
      <c r="J112" s="66">
        <v>8536.84</v>
      </c>
      <c r="K112" s="68" t="s">
        <v>95</v>
      </c>
      <c r="L112" s="64"/>
    </row>
    <row r="113" spans="1:12" ht="18" customHeight="1" x14ac:dyDescent="0.2">
      <c r="A113" s="60">
        <v>111</v>
      </c>
      <c r="B113" s="60" t="s">
        <v>45</v>
      </c>
      <c r="C113" s="60" t="s">
        <v>53</v>
      </c>
      <c r="D113" s="60" t="s">
        <v>41</v>
      </c>
      <c r="E113" s="61">
        <v>45780</v>
      </c>
      <c r="F113" s="61">
        <v>45797</v>
      </c>
      <c r="G113" s="61">
        <v>45797</v>
      </c>
      <c r="H113" s="62">
        <v>9750.35</v>
      </c>
      <c r="I113" s="60" t="s">
        <v>133</v>
      </c>
      <c r="J113" s="62">
        <v>9750.35</v>
      </c>
      <c r="K113" s="67" t="s">
        <v>72</v>
      </c>
      <c r="L113" s="60">
        <v>17</v>
      </c>
    </row>
    <row r="114" spans="1:12" ht="18" customHeight="1" x14ac:dyDescent="0.2">
      <c r="A114" s="64">
        <v>112</v>
      </c>
      <c r="B114" s="64" t="s">
        <v>29</v>
      </c>
      <c r="C114" s="64" t="s">
        <v>57</v>
      </c>
      <c r="D114" s="64" t="s">
        <v>58</v>
      </c>
      <c r="E114" s="65">
        <v>45792</v>
      </c>
      <c r="F114" s="65">
        <v>45822</v>
      </c>
      <c r="G114" s="64"/>
      <c r="H114" s="66">
        <v>3867.03</v>
      </c>
      <c r="I114" s="64" t="s">
        <v>138</v>
      </c>
      <c r="J114" s="66">
        <v>2861.6021999999998</v>
      </c>
      <c r="K114" s="68" t="s">
        <v>95</v>
      </c>
      <c r="L114" s="64"/>
    </row>
    <row r="115" spans="1:12" ht="18" customHeight="1" x14ac:dyDescent="0.2">
      <c r="A115" s="60">
        <v>113</v>
      </c>
      <c r="B115" s="60" t="s">
        <v>29</v>
      </c>
      <c r="C115" s="60" t="s">
        <v>62</v>
      </c>
      <c r="D115" s="60" t="s">
        <v>33</v>
      </c>
      <c r="E115" s="61">
        <v>45696</v>
      </c>
      <c r="F115" s="61">
        <v>45727</v>
      </c>
      <c r="G115" s="60"/>
      <c r="H115" s="62">
        <v>2228.4699999999998</v>
      </c>
      <c r="I115" s="60" t="s">
        <v>138</v>
      </c>
      <c r="J115" s="62">
        <v>1649.0678</v>
      </c>
      <c r="K115" s="68" t="s">
        <v>95</v>
      </c>
      <c r="L115" s="60"/>
    </row>
    <row r="116" spans="1:12" ht="18" customHeight="1" x14ac:dyDescent="0.2">
      <c r="A116" s="64">
        <v>114</v>
      </c>
      <c r="B116" s="64" t="s">
        <v>37</v>
      </c>
      <c r="C116" s="64" t="s">
        <v>40</v>
      </c>
      <c r="D116" s="64" t="s">
        <v>41</v>
      </c>
      <c r="E116" s="65">
        <v>45720</v>
      </c>
      <c r="F116" s="65">
        <v>45753</v>
      </c>
      <c r="G116" s="65">
        <v>45740</v>
      </c>
      <c r="H116" s="66">
        <v>9934.85</v>
      </c>
      <c r="I116" s="64" t="s">
        <v>133</v>
      </c>
      <c r="J116" s="66">
        <v>9934.85</v>
      </c>
      <c r="K116" s="67" t="s">
        <v>72</v>
      </c>
      <c r="L116" s="64">
        <v>20</v>
      </c>
    </row>
    <row r="117" spans="1:12" ht="18" customHeight="1" x14ac:dyDescent="0.2">
      <c r="A117" s="60">
        <v>115</v>
      </c>
      <c r="B117" s="60" t="s">
        <v>29</v>
      </c>
      <c r="C117" s="60" t="s">
        <v>40</v>
      </c>
      <c r="D117" s="60" t="s">
        <v>41</v>
      </c>
      <c r="E117" s="61">
        <v>45768</v>
      </c>
      <c r="F117" s="61">
        <v>45798</v>
      </c>
      <c r="G117" s="61">
        <v>45781</v>
      </c>
      <c r="H117" s="62">
        <v>6804.1</v>
      </c>
      <c r="I117" s="60" t="s">
        <v>133</v>
      </c>
      <c r="J117" s="62">
        <v>6804.1</v>
      </c>
      <c r="K117" s="67" t="s">
        <v>72</v>
      </c>
      <c r="L117" s="60">
        <v>13</v>
      </c>
    </row>
    <row r="118" spans="1:12" ht="18" customHeight="1" x14ac:dyDescent="0.2">
      <c r="A118" s="64">
        <v>116</v>
      </c>
      <c r="B118" s="64" t="s">
        <v>37</v>
      </c>
      <c r="C118" s="64" t="s">
        <v>57</v>
      </c>
      <c r="D118" s="64" t="s">
        <v>58</v>
      </c>
      <c r="E118" s="65">
        <v>45746</v>
      </c>
      <c r="F118" s="65">
        <v>45779</v>
      </c>
      <c r="G118" s="65">
        <v>45799</v>
      </c>
      <c r="H118" s="66">
        <v>236.66</v>
      </c>
      <c r="I118" s="64" t="s">
        <v>138</v>
      </c>
      <c r="J118" s="66">
        <v>175.1284</v>
      </c>
      <c r="K118" s="67" t="s">
        <v>72</v>
      </c>
      <c r="L118" s="64">
        <v>53</v>
      </c>
    </row>
    <row r="119" spans="1:12" ht="18" customHeight="1" x14ac:dyDescent="0.2">
      <c r="A119" s="60">
        <v>117</v>
      </c>
      <c r="B119" s="60" t="s">
        <v>29</v>
      </c>
      <c r="C119" s="60" t="s">
        <v>53</v>
      </c>
      <c r="D119" s="60" t="s">
        <v>41</v>
      </c>
      <c r="E119" s="61">
        <v>45671</v>
      </c>
      <c r="F119" s="61">
        <v>45687</v>
      </c>
      <c r="G119" s="61">
        <v>45719</v>
      </c>
      <c r="H119" s="62">
        <v>2854.48</v>
      </c>
      <c r="I119" s="60" t="s">
        <v>138</v>
      </c>
      <c r="J119" s="62">
        <v>2112.3152</v>
      </c>
      <c r="K119" s="67" t="s">
        <v>72</v>
      </c>
      <c r="L119" s="60">
        <v>48</v>
      </c>
    </row>
    <row r="120" spans="1:12" ht="18" customHeight="1" x14ac:dyDescent="0.2">
      <c r="A120" s="64">
        <v>118</v>
      </c>
      <c r="B120" s="64" t="s">
        <v>37</v>
      </c>
      <c r="C120" s="64" t="s">
        <v>136</v>
      </c>
      <c r="D120" s="64" t="s">
        <v>137</v>
      </c>
      <c r="E120" s="65">
        <v>45719</v>
      </c>
      <c r="F120" s="65">
        <v>45765</v>
      </c>
      <c r="G120" s="65">
        <v>45768</v>
      </c>
      <c r="H120" s="66">
        <v>4132.8500000000004</v>
      </c>
      <c r="I120" s="64" t="s">
        <v>138</v>
      </c>
      <c r="J120" s="66">
        <v>3058.3090000000002</v>
      </c>
      <c r="K120" s="67" t="s">
        <v>72</v>
      </c>
      <c r="L120" s="64">
        <v>49</v>
      </c>
    </row>
    <row r="121" spans="1:12" ht="18" customHeight="1" x14ac:dyDescent="0.2">
      <c r="A121" s="60">
        <v>119</v>
      </c>
      <c r="B121" s="60" t="s">
        <v>37</v>
      </c>
      <c r="C121" s="60" t="s">
        <v>62</v>
      </c>
      <c r="D121" s="60" t="s">
        <v>33</v>
      </c>
      <c r="E121" s="61">
        <v>45802</v>
      </c>
      <c r="F121" s="61">
        <v>45835</v>
      </c>
      <c r="G121" s="61">
        <v>45849</v>
      </c>
      <c r="H121" s="62">
        <v>6673.7</v>
      </c>
      <c r="I121" s="60" t="s">
        <v>133</v>
      </c>
      <c r="J121" s="62">
        <v>6673.7</v>
      </c>
      <c r="K121" s="67" t="s">
        <v>72</v>
      </c>
      <c r="L121" s="60">
        <v>47</v>
      </c>
    </row>
    <row r="122" spans="1:12" ht="18" customHeight="1" x14ac:dyDescent="0.2">
      <c r="A122" s="64">
        <v>120</v>
      </c>
      <c r="B122" s="64" t="s">
        <v>37</v>
      </c>
      <c r="C122" s="64" t="s">
        <v>139</v>
      </c>
      <c r="D122" s="64" t="s">
        <v>140</v>
      </c>
      <c r="E122" s="65">
        <v>45770</v>
      </c>
      <c r="F122" s="65">
        <v>45817</v>
      </c>
      <c r="G122" s="65">
        <v>45779</v>
      </c>
      <c r="H122" s="66">
        <v>9651.84</v>
      </c>
      <c r="I122" s="64" t="s">
        <v>133</v>
      </c>
      <c r="J122" s="66">
        <v>9651.84</v>
      </c>
      <c r="K122" s="67" t="s">
        <v>72</v>
      </c>
      <c r="L122" s="64">
        <v>9</v>
      </c>
    </row>
    <row r="123" spans="1:12" ht="18" customHeight="1" x14ac:dyDescent="0.2">
      <c r="A123" s="60">
        <v>121</v>
      </c>
      <c r="B123" s="60" t="s">
        <v>29</v>
      </c>
      <c r="C123" s="60" t="s">
        <v>40</v>
      </c>
      <c r="D123" s="60" t="s">
        <v>41</v>
      </c>
      <c r="E123" s="61">
        <v>45781</v>
      </c>
      <c r="F123" s="61">
        <v>45811</v>
      </c>
      <c r="G123" s="61">
        <v>45806</v>
      </c>
      <c r="H123" s="62">
        <v>7730.98</v>
      </c>
      <c r="I123" s="60" t="s">
        <v>133</v>
      </c>
      <c r="J123" s="62">
        <v>7730.98</v>
      </c>
      <c r="K123" s="67" t="s">
        <v>72</v>
      </c>
      <c r="L123" s="60">
        <v>25</v>
      </c>
    </row>
    <row r="124" spans="1:12" ht="18" customHeight="1" x14ac:dyDescent="0.2">
      <c r="A124" s="64">
        <v>122</v>
      </c>
      <c r="B124" s="64" t="s">
        <v>37</v>
      </c>
      <c r="C124" s="64" t="s">
        <v>40</v>
      </c>
      <c r="D124" s="64" t="s">
        <v>41</v>
      </c>
      <c r="E124" s="65">
        <v>45784</v>
      </c>
      <c r="F124" s="65">
        <v>45814</v>
      </c>
      <c r="G124" s="65">
        <v>45839</v>
      </c>
      <c r="H124" s="66">
        <v>3859.94</v>
      </c>
      <c r="I124" s="64" t="s">
        <v>133</v>
      </c>
      <c r="J124" s="66">
        <v>3859.94</v>
      </c>
      <c r="K124" s="67" t="s">
        <v>72</v>
      </c>
      <c r="L124" s="64">
        <v>55</v>
      </c>
    </row>
    <row r="125" spans="1:12" ht="18" customHeight="1" x14ac:dyDescent="0.2">
      <c r="A125" s="60">
        <v>123</v>
      </c>
      <c r="B125" s="60" t="s">
        <v>37</v>
      </c>
      <c r="C125" s="60" t="s">
        <v>139</v>
      </c>
      <c r="D125" s="60" t="s">
        <v>140</v>
      </c>
      <c r="E125" s="61">
        <v>45663</v>
      </c>
      <c r="F125" s="61">
        <v>45708</v>
      </c>
      <c r="G125" s="61">
        <v>45692</v>
      </c>
      <c r="H125" s="62">
        <v>4906.75</v>
      </c>
      <c r="I125" s="60" t="s">
        <v>138</v>
      </c>
      <c r="J125" s="62">
        <v>3630.9949999999999</v>
      </c>
      <c r="K125" s="67" t="s">
        <v>72</v>
      </c>
      <c r="L125" s="60">
        <v>29</v>
      </c>
    </row>
    <row r="126" spans="1:12" ht="18" customHeight="1" x14ac:dyDescent="0.2">
      <c r="A126" s="64">
        <v>124</v>
      </c>
      <c r="B126" s="64" t="s">
        <v>29</v>
      </c>
      <c r="C126" s="64" t="s">
        <v>139</v>
      </c>
      <c r="D126" s="64" t="s">
        <v>140</v>
      </c>
      <c r="E126" s="65">
        <v>45741</v>
      </c>
      <c r="F126" s="65">
        <v>45789</v>
      </c>
      <c r="G126" s="65">
        <v>45756</v>
      </c>
      <c r="H126" s="66">
        <v>8300.11</v>
      </c>
      <c r="I126" s="64" t="s">
        <v>133</v>
      </c>
      <c r="J126" s="66">
        <v>8300.11</v>
      </c>
      <c r="K126" s="67" t="s">
        <v>72</v>
      </c>
      <c r="L126" s="64">
        <v>15</v>
      </c>
    </row>
    <row r="127" spans="1:12" ht="18" customHeight="1" x14ac:dyDescent="0.2">
      <c r="A127" s="60">
        <v>125</v>
      </c>
      <c r="B127" s="60" t="s">
        <v>45</v>
      </c>
      <c r="C127" s="60" t="s">
        <v>40</v>
      </c>
      <c r="D127" s="60" t="s">
        <v>41</v>
      </c>
      <c r="E127" s="61">
        <v>45707</v>
      </c>
      <c r="F127" s="61">
        <v>45739</v>
      </c>
      <c r="G127" s="61">
        <v>45727</v>
      </c>
      <c r="H127" s="62">
        <v>1542.25</v>
      </c>
      <c r="I127" s="60" t="s">
        <v>138</v>
      </c>
      <c r="J127" s="62">
        <v>1141.2650000000001</v>
      </c>
      <c r="K127" s="67" t="s">
        <v>72</v>
      </c>
      <c r="L127" s="60">
        <v>20</v>
      </c>
    </row>
    <row r="128" spans="1:12" ht="18" customHeight="1" x14ac:dyDescent="0.2">
      <c r="A128" s="64">
        <v>126</v>
      </c>
      <c r="B128" s="64" t="s">
        <v>29</v>
      </c>
      <c r="C128" s="64" t="s">
        <v>136</v>
      </c>
      <c r="D128" s="64" t="s">
        <v>137</v>
      </c>
      <c r="E128" s="65">
        <v>45721</v>
      </c>
      <c r="F128" s="65">
        <v>45767</v>
      </c>
      <c r="G128" s="65">
        <v>45759</v>
      </c>
      <c r="H128" s="66">
        <v>2479.71</v>
      </c>
      <c r="I128" s="64" t="s">
        <v>133</v>
      </c>
      <c r="J128" s="66">
        <v>2479.71</v>
      </c>
      <c r="K128" s="67" t="s">
        <v>72</v>
      </c>
      <c r="L128" s="64">
        <v>38</v>
      </c>
    </row>
    <row r="129" spans="1:12" ht="18" customHeight="1" x14ac:dyDescent="0.2">
      <c r="A129" s="60">
        <v>127</v>
      </c>
      <c r="B129" s="60" t="s">
        <v>37</v>
      </c>
      <c r="C129" s="60" t="s">
        <v>57</v>
      </c>
      <c r="D129" s="60" t="s">
        <v>58</v>
      </c>
      <c r="E129" s="61">
        <v>45770</v>
      </c>
      <c r="F129" s="61">
        <v>45800</v>
      </c>
      <c r="G129" s="61">
        <v>45814</v>
      </c>
      <c r="H129" s="62">
        <v>8509.85</v>
      </c>
      <c r="I129" s="60" t="s">
        <v>133</v>
      </c>
      <c r="J129" s="62">
        <v>8509.85</v>
      </c>
      <c r="K129" s="67" t="s">
        <v>72</v>
      </c>
      <c r="L129" s="60">
        <v>44</v>
      </c>
    </row>
    <row r="130" spans="1:12" ht="18" customHeight="1" x14ac:dyDescent="0.2">
      <c r="A130" s="64">
        <v>128</v>
      </c>
      <c r="B130" s="64" t="s">
        <v>45</v>
      </c>
      <c r="C130" s="64" t="s">
        <v>57</v>
      </c>
      <c r="D130" s="64" t="s">
        <v>58</v>
      </c>
      <c r="E130" s="65">
        <v>45758</v>
      </c>
      <c r="F130" s="65">
        <v>45790</v>
      </c>
      <c r="G130" s="64"/>
      <c r="H130" s="66">
        <v>8270.65</v>
      </c>
      <c r="I130" s="64" t="s">
        <v>133</v>
      </c>
      <c r="J130" s="66">
        <v>8270.65</v>
      </c>
      <c r="K130" s="63" t="s">
        <v>100</v>
      </c>
      <c r="L130" s="64"/>
    </row>
    <row r="131" spans="1:12" ht="18" customHeight="1" x14ac:dyDescent="0.2">
      <c r="A131" s="60">
        <v>129</v>
      </c>
      <c r="B131" s="60" t="s">
        <v>45</v>
      </c>
      <c r="C131" s="60" t="s">
        <v>62</v>
      </c>
      <c r="D131" s="60" t="s">
        <v>33</v>
      </c>
      <c r="E131" s="61">
        <v>45720</v>
      </c>
      <c r="F131" s="61">
        <v>45753</v>
      </c>
      <c r="G131" s="61">
        <v>45740</v>
      </c>
      <c r="H131" s="62">
        <v>5970.67</v>
      </c>
      <c r="I131" s="60" t="s">
        <v>133</v>
      </c>
      <c r="J131" s="62">
        <v>5970.67</v>
      </c>
      <c r="K131" s="67" t="s">
        <v>72</v>
      </c>
      <c r="L131" s="60">
        <v>20</v>
      </c>
    </row>
    <row r="132" spans="1:12" ht="18" customHeight="1" x14ac:dyDescent="0.2">
      <c r="A132" s="64">
        <v>130</v>
      </c>
      <c r="B132" s="64" t="s">
        <v>29</v>
      </c>
      <c r="C132" s="64" t="s">
        <v>57</v>
      </c>
      <c r="D132" s="64" t="s">
        <v>58</v>
      </c>
      <c r="E132" s="65">
        <v>45723</v>
      </c>
      <c r="F132" s="65">
        <v>45756</v>
      </c>
      <c r="G132" s="65">
        <v>45750</v>
      </c>
      <c r="H132" s="66">
        <v>1750.41</v>
      </c>
      <c r="I132" s="64" t="s">
        <v>138</v>
      </c>
      <c r="J132" s="66">
        <v>1295.3034</v>
      </c>
      <c r="K132" s="67" t="s">
        <v>72</v>
      </c>
      <c r="L132" s="64">
        <v>27</v>
      </c>
    </row>
    <row r="133" spans="1:12" ht="18" customHeight="1" x14ac:dyDescent="0.2">
      <c r="A133" s="60">
        <v>131</v>
      </c>
      <c r="B133" s="60" t="s">
        <v>45</v>
      </c>
      <c r="C133" s="60" t="s">
        <v>48</v>
      </c>
      <c r="D133" s="60" t="s">
        <v>49</v>
      </c>
      <c r="E133" s="61">
        <v>45692</v>
      </c>
      <c r="F133" s="61">
        <v>45723</v>
      </c>
      <c r="G133" s="61">
        <v>45737</v>
      </c>
      <c r="H133" s="62">
        <v>3734.04</v>
      </c>
      <c r="I133" s="60" t="s">
        <v>138</v>
      </c>
      <c r="J133" s="62">
        <v>2763.1896000000002</v>
      </c>
      <c r="K133" s="67" t="s">
        <v>72</v>
      </c>
      <c r="L133" s="60">
        <v>45</v>
      </c>
    </row>
    <row r="134" spans="1:12" ht="18" customHeight="1" x14ac:dyDescent="0.2">
      <c r="A134" s="64">
        <v>132</v>
      </c>
      <c r="B134" s="64" t="s">
        <v>45</v>
      </c>
      <c r="C134" s="64" t="s">
        <v>139</v>
      </c>
      <c r="D134" s="64" t="s">
        <v>140</v>
      </c>
      <c r="E134" s="65">
        <v>45711</v>
      </c>
      <c r="F134" s="65">
        <v>45758</v>
      </c>
      <c r="G134" s="65">
        <v>45723</v>
      </c>
      <c r="H134" s="66">
        <v>1877.33</v>
      </c>
      <c r="I134" s="64" t="s">
        <v>133</v>
      </c>
      <c r="J134" s="66">
        <v>1877.33</v>
      </c>
      <c r="K134" s="67" t="s">
        <v>72</v>
      </c>
      <c r="L134" s="64">
        <v>12</v>
      </c>
    </row>
    <row r="135" spans="1:12" ht="18" customHeight="1" x14ac:dyDescent="0.2">
      <c r="A135" s="60">
        <v>133</v>
      </c>
      <c r="B135" s="60" t="s">
        <v>29</v>
      </c>
      <c r="C135" s="60" t="s">
        <v>139</v>
      </c>
      <c r="D135" s="60" t="s">
        <v>140</v>
      </c>
      <c r="E135" s="61">
        <v>45769</v>
      </c>
      <c r="F135" s="61">
        <v>45815</v>
      </c>
      <c r="G135" s="61">
        <v>45799</v>
      </c>
      <c r="H135" s="62">
        <v>7536.96</v>
      </c>
      <c r="I135" s="60" t="s">
        <v>133</v>
      </c>
      <c r="J135" s="62">
        <v>7536.96</v>
      </c>
      <c r="K135" s="67" t="s">
        <v>72</v>
      </c>
      <c r="L135" s="60">
        <v>30</v>
      </c>
    </row>
    <row r="136" spans="1:12" ht="18" customHeight="1" x14ac:dyDescent="0.2">
      <c r="A136" s="64">
        <v>134</v>
      </c>
      <c r="B136" s="64" t="s">
        <v>37</v>
      </c>
      <c r="C136" s="64" t="s">
        <v>57</v>
      </c>
      <c r="D136" s="64" t="s">
        <v>58</v>
      </c>
      <c r="E136" s="65">
        <v>45716</v>
      </c>
      <c r="F136" s="65">
        <v>45747</v>
      </c>
      <c r="G136" s="64"/>
      <c r="H136" s="66">
        <v>3544.86</v>
      </c>
      <c r="I136" s="64" t="s">
        <v>133</v>
      </c>
      <c r="J136" s="66">
        <v>3544.86</v>
      </c>
      <c r="K136" s="68" t="s">
        <v>95</v>
      </c>
      <c r="L136" s="64"/>
    </row>
    <row r="137" spans="1:12" ht="18" customHeight="1" x14ac:dyDescent="0.2">
      <c r="A137" s="60">
        <v>135</v>
      </c>
      <c r="B137" s="60" t="s">
        <v>45</v>
      </c>
      <c r="C137" s="60" t="s">
        <v>62</v>
      </c>
      <c r="D137" s="60" t="s">
        <v>33</v>
      </c>
      <c r="E137" s="61">
        <v>45759</v>
      </c>
      <c r="F137" s="61">
        <v>45789</v>
      </c>
      <c r="G137" s="61">
        <v>45804</v>
      </c>
      <c r="H137" s="62">
        <v>7790.39</v>
      </c>
      <c r="I137" s="60" t="s">
        <v>133</v>
      </c>
      <c r="J137" s="62">
        <v>7790.39</v>
      </c>
      <c r="K137" s="67" t="s">
        <v>72</v>
      </c>
      <c r="L137" s="60">
        <v>45</v>
      </c>
    </row>
    <row r="138" spans="1:12" ht="18" customHeight="1" x14ac:dyDescent="0.2">
      <c r="A138" s="64">
        <v>136</v>
      </c>
      <c r="B138" s="64" t="s">
        <v>45</v>
      </c>
      <c r="C138" s="64" t="s">
        <v>62</v>
      </c>
      <c r="D138" s="64" t="s">
        <v>33</v>
      </c>
      <c r="E138" s="65">
        <v>45702</v>
      </c>
      <c r="F138" s="65">
        <v>45734</v>
      </c>
      <c r="G138" s="65">
        <v>45749</v>
      </c>
      <c r="H138" s="66">
        <v>5922.91</v>
      </c>
      <c r="I138" s="64" t="s">
        <v>133</v>
      </c>
      <c r="J138" s="66">
        <v>5922.91</v>
      </c>
      <c r="K138" s="67" t="s">
        <v>72</v>
      </c>
      <c r="L138" s="64">
        <v>47</v>
      </c>
    </row>
    <row r="139" spans="1:12" ht="18" customHeight="1" x14ac:dyDescent="0.2">
      <c r="A139" s="60">
        <v>137</v>
      </c>
      <c r="B139" s="60" t="s">
        <v>37</v>
      </c>
      <c r="C139" s="60" t="s">
        <v>62</v>
      </c>
      <c r="D139" s="60" t="s">
        <v>33</v>
      </c>
      <c r="E139" s="61">
        <v>45745</v>
      </c>
      <c r="F139" s="61">
        <v>45778</v>
      </c>
      <c r="G139" s="60"/>
      <c r="H139" s="62">
        <v>6324.54</v>
      </c>
      <c r="I139" s="60" t="s">
        <v>133</v>
      </c>
      <c r="J139" s="62">
        <v>6324.54</v>
      </c>
      <c r="K139" s="63" t="s">
        <v>100</v>
      </c>
      <c r="L139" s="60"/>
    </row>
    <row r="140" spans="1:12" ht="18" customHeight="1" x14ac:dyDescent="0.2">
      <c r="A140" s="64">
        <v>138</v>
      </c>
      <c r="B140" s="64" t="s">
        <v>29</v>
      </c>
      <c r="C140" s="64" t="s">
        <v>48</v>
      </c>
      <c r="D140" s="64" t="s">
        <v>49</v>
      </c>
      <c r="E140" s="65">
        <v>45699</v>
      </c>
      <c r="F140" s="65">
        <v>45729</v>
      </c>
      <c r="G140" s="65">
        <v>45709</v>
      </c>
      <c r="H140" s="66">
        <v>8828.58</v>
      </c>
      <c r="I140" s="64" t="s">
        <v>133</v>
      </c>
      <c r="J140" s="66">
        <v>8828.58</v>
      </c>
      <c r="K140" s="67" t="s">
        <v>72</v>
      </c>
      <c r="L140" s="64">
        <v>10</v>
      </c>
    </row>
    <row r="141" spans="1:12" ht="18" customHeight="1" x14ac:dyDescent="0.2">
      <c r="A141" s="60">
        <v>139</v>
      </c>
      <c r="B141" s="60" t="s">
        <v>37</v>
      </c>
      <c r="C141" s="60" t="s">
        <v>139</v>
      </c>
      <c r="D141" s="60" t="s">
        <v>140</v>
      </c>
      <c r="E141" s="61">
        <v>45771</v>
      </c>
      <c r="F141" s="61">
        <v>45816</v>
      </c>
      <c r="G141" s="60"/>
      <c r="H141" s="62">
        <v>4874.74</v>
      </c>
      <c r="I141" s="60" t="s">
        <v>133</v>
      </c>
      <c r="J141" s="62">
        <v>4874.74</v>
      </c>
      <c r="K141" s="63" t="s">
        <v>100</v>
      </c>
      <c r="L141" s="60"/>
    </row>
    <row r="142" spans="1:12" ht="18" customHeight="1" x14ac:dyDescent="0.2">
      <c r="A142" s="64">
        <v>140</v>
      </c>
      <c r="B142" s="64" t="s">
        <v>45</v>
      </c>
      <c r="C142" s="64" t="s">
        <v>136</v>
      </c>
      <c r="D142" s="64" t="s">
        <v>137</v>
      </c>
      <c r="E142" s="65">
        <v>45785</v>
      </c>
      <c r="F142" s="65">
        <v>45833</v>
      </c>
      <c r="G142" s="65">
        <v>45832</v>
      </c>
      <c r="H142" s="66">
        <v>2531.08</v>
      </c>
      <c r="I142" s="64" t="s">
        <v>138</v>
      </c>
      <c r="J142" s="66">
        <v>1872.9992</v>
      </c>
      <c r="K142" s="67" t="s">
        <v>72</v>
      </c>
      <c r="L142" s="64">
        <v>47</v>
      </c>
    </row>
    <row r="143" spans="1:12" ht="18" customHeight="1" x14ac:dyDescent="0.2">
      <c r="A143" s="60">
        <v>141</v>
      </c>
      <c r="B143" s="60" t="s">
        <v>37</v>
      </c>
      <c r="C143" s="60" t="s">
        <v>53</v>
      </c>
      <c r="D143" s="60" t="s">
        <v>41</v>
      </c>
      <c r="E143" s="61">
        <v>45674</v>
      </c>
      <c r="F143" s="61">
        <v>45691</v>
      </c>
      <c r="G143" s="60"/>
      <c r="H143" s="62">
        <v>5927.21</v>
      </c>
      <c r="I143" s="60" t="s">
        <v>133</v>
      </c>
      <c r="J143" s="62">
        <v>5927.21</v>
      </c>
      <c r="K143" s="68" t="s">
        <v>95</v>
      </c>
      <c r="L143" s="60"/>
    </row>
    <row r="144" spans="1:12" ht="18" customHeight="1" x14ac:dyDescent="0.2">
      <c r="A144" s="64">
        <v>142</v>
      </c>
      <c r="B144" s="64" t="s">
        <v>45</v>
      </c>
      <c r="C144" s="64" t="s">
        <v>136</v>
      </c>
      <c r="D144" s="64" t="s">
        <v>137</v>
      </c>
      <c r="E144" s="65">
        <v>45721</v>
      </c>
      <c r="F144" s="65">
        <v>45767</v>
      </c>
      <c r="G144" s="64"/>
      <c r="H144" s="66">
        <v>7716.36</v>
      </c>
      <c r="I144" s="64" t="s">
        <v>133</v>
      </c>
      <c r="J144" s="66">
        <v>7716.36</v>
      </c>
      <c r="K144" s="68" t="s">
        <v>95</v>
      </c>
      <c r="L144" s="64"/>
    </row>
    <row r="145" spans="1:12" ht="18" customHeight="1" x14ac:dyDescent="0.2">
      <c r="A145" s="60">
        <v>143</v>
      </c>
      <c r="B145" s="60" t="s">
        <v>37</v>
      </c>
      <c r="C145" s="60" t="s">
        <v>139</v>
      </c>
      <c r="D145" s="60" t="s">
        <v>140</v>
      </c>
      <c r="E145" s="61">
        <v>45718</v>
      </c>
      <c r="F145" s="61">
        <v>45763</v>
      </c>
      <c r="G145" s="61">
        <v>45741</v>
      </c>
      <c r="H145" s="62">
        <v>9712.1299999999992</v>
      </c>
      <c r="I145" s="60" t="s">
        <v>133</v>
      </c>
      <c r="J145" s="62">
        <v>9712.1299999999992</v>
      </c>
      <c r="K145" s="67" t="s">
        <v>72</v>
      </c>
      <c r="L145" s="60">
        <v>23</v>
      </c>
    </row>
    <row r="146" spans="1:12" ht="18" customHeight="1" x14ac:dyDescent="0.2">
      <c r="A146" s="64">
        <v>144</v>
      </c>
      <c r="B146" s="64" t="s">
        <v>37</v>
      </c>
      <c r="C146" s="64" t="s">
        <v>40</v>
      </c>
      <c r="D146" s="64" t="s">
        <v>41</v>
      </c>
      <c r="E146" s="65">
        <v>45737</v>
      </c>
      <c r="F146" s="65">
        <v>45767</v>
      </c>
      <c r="G146" s="65">
        <v>45779</v>
      </c>
      <c r="H146" s="66">
        <v>2940.41</v>
      </c>
      <c r="I146" s="64" t="s">
        <v>138</v>
      </c>
      <c r="J146" s="66">
        <v>2175.9034000000001</v>
      </c>
      <c r="K146" s="67" t="s">
        <v>72</v>
      </c>
      <c r="L146" s="64">
        <v>42</v>
      </c>
    </row>
    <row r="147" spans="1:12" ht="18" customHeight="1" x14ac:dyDescent="0.2">
      <c r="A147" s="60">
        <v>145</v>
      </c>
      <c r="B147" s="60" t="s">
        <v>37</v>
      </c>
      <c r="C147" s="60" t="s">
        <v>32</v>
      </c>
      <c r="D147" s="60" t="s">
        <v>33</v>
      </c>
      <c r="E147" s="61">
        <v>45743</v>
      </c>
      <c r="F147" s="61">
        <v>45776</v>
      </c>
      <c r="G147" s="61">
        <v>45778</v>
      </c>
      <c r="H147" s="62">
        <v>4957.88</v>
      </c>
      <c r="I147" s="60" t="s">
        <v>133</v>
      </c>
      <c r="J147" s="62">
        <v>4957.88</v>
      </c>
      <c r="K147" s="67" t="s">
        <v>72</v>
      </c>
      <c r="L147" s="60">
        <v>35</v>
      </c>
    </row>
    <row r="148" spans="1:12" ht="18" customHeight="1" x14ac:dyDescent="0.2">
      <c r="A148" s="64">
        <v>146</v>
      </c>
      <c r="B148" s="64" t="s">
        <v>37</v>
      </c>
      <c r="C148" s="64" t="s">
        <v>48</v>
      </c>
      <c r="D148" s="64" t="s">
        <v>49</v>
      </c>
      <c r="E148" s="65">
        <v>45683</v>
      </c>
      <c r="F148" s="65">
        <v>45716</v>
      </c>
      <c r="G148" s="64"/>
      <c r="H148" s="66">
        <v>9193.73</v>
      </c>
      <c r="I148" s="64" t="s">
        <v>133</v>
      </c>
      <c r="J148" s="66">
        <v>9193.73</v>
      </c>
      <c r="K148" s="63" t="s">
        <v>100</v>
      </c>
      <c r="L148" s="64"/>
    </row>
    <row r="149" spans="1:12" ht="18" customHeight="1" x14ac:dyDescent="0.2">
      <c r="A149" s="60">
        <v>147</v>
      </c>
      <c r="B149" s="60" t="s">
        <v>29</v>
      </c>
      <c r="C149" s="60" t="s">
        <v>136</v>
      </c>
      <c r="D149" s="60" t="s">
        <v>137</v>
      </c>
      <c r="E149" s="61">
        <v>45691</v>
      </c>
      <c r="F149" s="61">
        <v>45737</v>
      </c>
      <c r="G149" s="61">
        <v>45738</v>
      </c>
      <c r="H149" s="62">
        <v>7021.78</v>
      </c>
      <c r="I149" s="60" t="s">
        <v>133</v>
      </c>
      <c r="J149" s="62">
        <v>7021.78</v>
      </c>
      <c r="K149" s="67" t="s">
        <v>72</v>
      </c>
      <c r="L149" s="60">
        <v>47</v>
      </c>
    </row>
    <row r="150" spans="1:12" ht="18" customHeight="1" x14ac:dyDescent="0.2">
      <c r="A150" s="64">
        <v>148</v>
      </c>
      <c r="B150" s="64" t="s">
        <v>37</v>
      </c>
      <c r="C150" s="64" t="s">
        <v>53</v>
      </c>
      <c r="D150" s="64" t="s">
        <v>41</v>
      </c>
      <c r="E150" s="65">
        <v>45662</v>
      </c>
      <c r="F150" s="65">
        <v>45677</v>
      </c>
      <c r="G150" s="65">
        <v>45666</v>
      </c>
      <c r="H150" s="66">
        <v>2765.99</v>
      </c>
      <c r="I150" s="64" t="s">
        <v>138</v>
      </c>
      <c r="J150" s="66">
        <v>2046.8326</v>
      </c>
      <c r="K150" s="67" t="s">
        <v>72</v>
      </c>
      <c r="L150" s="64">
        <v>4</v>
      </c>
    </row>
    <row r="151" spans="1:12" ht="18" customHeight="1" x14ac:dyDescent="0.2">
      <c r="A151" s="60">
        <v>149</v>
      </c>
      <c r="B151" s="60" t="s">
        <v>29</v>
      </c>
      <c r="C151" s="60" t="s">
        <v>48</v>
      </c>
      <c r="D151" s="60" t="s">
        <v>49</v>
      </c>
      <c r="E151" s="61">
        <v>45690</v>
      </c>
      <c r="F151" s="61">
        <v>45723</v>
      </c>
      <c r="G151" s="61">
        <v>45730</v>
      </c>
      <c r="H151" s="62">
        <v>9149.07</v>
      </c>
      <c r="I151" s="60" t="s">
        <v>133</v>
      </c>
      <c r="J151" s="62">
        <v>9149.07</v>
      </c>
      <c r="K151" s="67" t="s">
        <v>72</v>
      </c>
      <c r="L151" s="60">
        <v>40</v>
      </c>
    </row>
    <row r="152" spans="1:12" ht="18" customHeight="1" x14ac:dyDescent="0.2">
      <c r="A152" s="64">
        <v>150</v>
      </c>
      <c r="B152" s="64" t="s">
        <v>45</v>
      </c>
      <c r="C152" s="64" t="s">
        <v>40</v>
      </c>
      <c r="D152" s="64" t="s">
        <v>41</v>
      </c>
      <c r="E152" s="65">
        <v>45741</v>
      </c>
      <c r="F152" s="65">
        <v>45774</v>
      </c>
      <c r="G152" s="65">
        <v>45759</v>
      </c>
      <c r="H152" s="66">
        <v>2144.81</v>
      </c>
      <c r="I152" s="64" t="s">
        <v>133</v>
      </c>
      <c r="J152" s="66">
        <v>2144.81</v>
      </c>
      <c r="K152" s="67" t="s">
        <v>72</v>
      </c>
      <c r="L152" s="64">
        <v>18</v>
      </c>
    </row>
    <row r="153" spans="1:12" ht="18" customHeight="1" x14ac:dyDescent="0.2">
      <c r="A153" s="60">
        <v>151</v>
      </c>
      <c r="B153" s="60" t="s">
        <v>45</v>
      </c>
      <c r="C153" s="60" t="s">
        <v>53</v>
      </c>
      <c r="D153" s="60" t="s">
        <v>41</v>
      </c>
      <c r="E153" s="61">
        <v>45738</v>
      </c>
      <c r="F153" s="61">
        <v>45753</v>
      </c>
      <c r="G153" s="61">
        <v>45790</v>
      </c>
      <c r="H153" s="62">
        <v>2631.14</v>
      </c>
      <c r="I153" s="60" t="s">
        <v>138</v>
      </c>
      <c r="J153" s="62">
        <v>1947.0436</v>
      </c>
      <c r="K153" s="67" t="s">
        <v>72</v>
      </c>
      <c r="L153" s="60">
        <v>52</v>
      </c>
    </row>
    <row r="154" spans="1:12" ht="18" customHeight="1" x14ac:dyDescent="0.2">
      <c r="A154" s="64">
        <v>152</v>
      </c>
      <c r="B154" s="64" t="s">
        <v>37</v>
      </c>
      <c r="C154" s="64" t="s">
        <v>62</v>
      </c>
      <c r="D154" s="64" t="s">
        <v>33</v>
      </c>
      <c r="E154" s="65">
        <v>45737</v>
      </c>
      <c r="F154" s="65">
        <v>45769</v>
      </c>
      <c r="G154" s="65">
        <v>45777</v>
      </c>
      <c r="H154" s="66">
        <v>7109.72</v>
      </c>
      <c r="I154" s="64" t="s">
        <v>133</v>
      </c>
      <c r="J154" s="66">
        <v>7109.72</v>
      </c>
      <c r="K154" s="67" t="s">
        <v>72</v>
      </c>
      <c r="L154" s="64">
        <v>40</v>
      </c>
    </row>
    <row r="155" spans="1:12" ht="18" customHeight="1" x14ac:dyDescent="0.2">
      <c r="A155" s="60">
        <v>153</v>
      </c>
      <c r="B155" s="60" t="s">
        <v>45</v>
      </c>
      <c r="C155" s="60" t="s">
        <v>40</v>
      </c>
      <c r="D155" s="60" t="s">
        <v>41</v>
      </c>
      <c r="E155" s="61">
        <v>45798</v>
      </c>
      <c r="F155" s="61">
        <v>45828</v>
      </c>
      <c r="G155" s="60"/>
      <c r="H155" s="62">
        <v>1560.22</v>
      </c>
      <c r="I155" s="60" t="s">
        <v>138</v>
      </c>
      <c r="J155" s="62">
        <v>1154.5627999999999</v>
      </c>
      <c r="K155" s="63" t="s">
        <v>100</v>
      </c>
      <c r="L155" s="60"/>
    </row>
    <row r="156" spans="1:12" ht="18" customHeight="1" x14ac:dyDescent="0.2">
      <c r="A156" s="64">
        <v>154</v>
      </c>
      <c r="B156" s="64" t="s">
        <v>37</v>
      </c>
      <c r="C156" s="64" t="s">
        <v>53</v>
      </c>
      <c r="D156" s="64" t="s">
        <v>41</v>
      </c>
      <c r="E156" s="65">
        <v>45689</v>
      </c>
      <c r="F156" s="65">
        <v>45706</v>
      </c>
      <c r="G156" s="65">
        <v>45694</v>
      </c>
      <c r="H156" s="66">
        <v>1171.5999999999999</v>
      </c>
      <c r="I156" s="64" t="s">
        <v>133</v>
      </c>
      <c r="J156" s="66">
        <v>1171.5999999999999</v>
      </c>
      <c r="K156" s="67" t="s">
        <v>72</v>
      </c>
      <c r="L156" s="64">
        <v>5</v>
      </c>
    </row>
    <row r="157" spans="1:12" ht="18" customHeight="1" x14ac:dyDescent="0.2">
      <c r="A157" s="60">
        <v>155</v>
      </c>
      <c r="B157" s="60" t="s">
        <v>29</v>
      </c>
      <c r="C157" s="60" t="s">
        <v>136</v>
      </c>
      <c r="D157" s="60" t="s">
        <v>137</v>
      </c>
      <c r="E157" s="61">
        <v>45738</v>
      </c>
      <c r="F157" s="61">
        <v>45786</v>
      </c>
      <c r="G157" s="60"/>
      <c r="H157" s="62">
        <v>8892.6200000000008</v>
      </c>
      <c r="I157" s="60" t="s">
        <v>138</v>
      </c>
      <c r="J157" s="62">
        <v>6580.5388000000003</v>
      </c>
      <c r="K157" s="63" t="s">
        <v>100</v>
      </c>
      <c r="L157" s="60"/>
    </row>
    <row r="158" spans="1:12" ht="18" customHeight="1" x14ac:dyDescent="0.2">
      <c r="A158" s="64">
        <v>156</v>
      </c>
      <c r="B158" s="64" t="s">
        <v>29</v>
      </c>
      <c r="C158" s="64" t="s">
        <v>62</v>
      </c>
      <c r="D158" s="64" t="s">
        <v>33</v>
      </c>
      <c r="E158" s="65">
        <v>45666</v>
      </c>
      <c r="F158" s="65">
        <v>45698</v>
      </c>
      <c r="G158" s="65">
        <v>45709</v>
      </c>
      <c r="H158" s="66">
        <v>5506.16</v>
      </c>
      <c r="I158" s="64" t="s">
        <v>138</v>
      </c>
      <c r="J158" s="66">
        <v>4074.5583999999999</v>
      </c>
      <c r="K158" s="67" t="s">
        <v>72</v>
      </c>
      <c r="L158" s="64">
        <v>43</v>
      </c>
    </row>
    <row r="159" spans="1:12" ht="18" customHeight="1" x14ac:dyDescent="0.2">
      <c r="A159" s="60">
        <v>157</v>
      </c>
      <c r="B159" s="60" t="s">
        <v>37</v>
      </c>
      <c r="C159" s="60" t="s">
        <v>139</v>
      </c>
      <c r="D159" s="60" t="s">
        <v>140</v>
      </c>
      <c r="E159" s="61">
        <v>45713</v>
      </c>
      <c r="F159" s="61">
        <v>45759</v>
      </c>
      <c r="G159" s="61">
        <v>45737</v>
      </c>
      <c r="H159" s="62">
        <v>1488.03</v>
      </c>
      <c r="I159" s="60" t="s">
        <v>133</v>
      </c>
      <c r="J159" s="62">
        <v>1488.03</v>
      </c>
      <c r="K159" s="67" t="s">
        <v>72</v>
      </c>
      <c r="L159" s="60">
        <v>24</v>
      </c>
    </row>
    <row r="160" spans="1:12" ht="18" customHeight="1" x14ac:dyDescent="0.2">
      <c r="A160" s="64">
        <v>158</v>
      </c>
      <c r="B160" s="64" t="s">
        <v>29</v>
      </c>
      <c r="C160" s="64" t="s">
        <v>48</v>
      </c>
      <c r="D160" s="64" t="s">
        <v>49</v>
      </c>
      <c r="E160" s="65">
        <v>45761</v>
      </c>
      <c r="F160" s="65">
        <v>45793</v>
      </c>
      <c r="G160" s="65">
        <v>45808</v>
      </c>
      <c r="H160" s="66">
        <v>8180.46</v>
      </c>
      <c r="I160" s="64" t="s">
        <v>133</v>
      </c>
      <c r="J160" s="66">
        <v>8180.46</v>
      </c>
      <c r="K160" s="67" t="s">
        <v>72</v>
      </c>
      <c r="L160" s="64">
        <v>47</v>
      </c>
    </row>
    <row r="161" spans="1:12" ht="18" customHeight="1" x14ac:dyDescent="0.2">
      <c r="A161" s="60">
        <v>159</v>
      </c>
      <c r="B161" s="60" t="s">
        <v>37</v>
      </c>
      <c r="C161" s="60" t="s">
        <v>122</v>
      </c>
      <c r="D161" s="60" t="s">
        <v>132</v>
      </c>
      <c r="E161" s="61">
        <v>45786</v>
      </c>
      <c r="F161" s="61">
        <v>45816</v>
      </c>
      <c r="G161" s="61">
        <v>45795</v>
      </c>
      <c r="H161" s="62">
        <v>8175.53</v>
      </c>
      <c r="I161" s="60" t="s">
        <v>133</v>
      </c>
      <c r="J161" s="62">
        <v>8175.53</v>
      </c>
      <c r="K161" s="67" t="s">
        <v>72</v>
      </c>
      <c r="L161" s="60">
        <v>9</v>
      </c>
    </row>
    <row r="162" spans="1:12" ht="18" customHeight="1" x14ac:dyDescent="0.2">
      <c r="A162" s="64">
        <v>160</v>
      </c>
      <c r="B162" s="64" t="s">
        <v>29</v>
      </c>
      <c r="C162" s="64" t="s">
        <v>134</v>
      </c>
      <c r="D162" s="64" t="s">
        <v>135</v>
      </c>
      <c r="E162" s="65">
        <v>45718</v>
      </c>
      <c r="F162" s="65">
        <v>45751</v>
      </c>
      <c r="G162" s="64"/>
      <c r="H162" s="66">
        <v>3769.93</v>
      </c>
      <c r="I162" s="64" t="s">
        <v>133</v>
      </c>
      <c r="J162" s="66">
        <v>3769.93</v>
      </c>
      <c r="K162" s="63" t="s">
        <v>100</v>
      </c>
      <c r="L162" s="64"/>
    </row>
    <row r="163" spans="1:12" ht="18" customHeight="1" x14ac:dyDescent="0.2">
      <c r="A163" s="60">
        <v>161</v>
      </c>
      <c r="B163" s="60" t="s">
        <v>29</v>
      </c>
      <c r="C163" s="60" t="s">
        <v>57</v>
      </c>
      <c r="D163" s="60" t="s">
        <v>58</v>
      </c>
      <c r="E163" s="61">
        <v>45674</v>
      </c>
      <c r="F163" s="61">
        <v>45705</v>
      </c>
      <c r="G163" s="61">
        <v>45679</v>
      </c>
      <c r="H163" s="62">
        <v>8166.72</v>
      </c>
      <c r="I163" s="60" t="s">
        <v>133</v>
      </c>
      <c r="J163" s="62">
        <v>8166.72</v>
      </c>
      <c r="K163" s="67" t="s">
        <v>72</v>
      </c>
      <c r="L163" s="60">
        <v>5</v>
      </c>
    </row>
    <row r="164" spans="1:12" ht="18" customHeight="1" x14ac:dyDescent="0.2">
      <c r="A164" s="64">
        <v>162</v>
      </c>
      <c r="B164" s="64" t="s">
        <v>37</v>
      </c>
      <c r="C164" s="64" t="s">
        <v>136</v>
      </c>
      <c r="D164" s="64" t="s">
        <v>137</v>
      </c>
      <c r="E164" s="65">
        <v>45703</v>
      </c>
      <c r="F164" s="65">
        <v>45748</v>
      </c>
      <c r="G164" s="65">
        <v>45714</v>
      </c>
      <c r="H164" s="66">
        <v>4755.83</v>
      </c>
      <c r="I164" s="64" t="s">
        <v>138</v>
      </c>
      <c r="J164" s="66">
        <v>3519.3141999999998</v>
      </c>
      <c r="K164" s="67" t="s">
        <v>72</v>
      </c>
      <c r="L164" s="64">
        <v>11</v>
      </c>
    </row>
    <row r="165" spans="1:12" ht="18" customHeight="1" x14ac:dyDescent="0.2">
      <c r="A165" s="60">
        <v>163</v>
      </c>
      <c r="B165" s="60" t="s">
        <v>45</v>
      </c>
      <c r="C165" s="60" t="s">
        <v>40</v>
      </c>
      <c r="D165" s="60" t="s">
        <v>41</v>
      </c>
      <c r="E165" s="61">
        <v>45789</v>
      </c>
      <c r="F165" s="61">
        <v>45821</v>
      </c>
      <c r="G165" s="61">
        <v>45844</v>
      </c>
      <c r="H165" s="62">
        <v>4970.2299999999996</v>
      </c>
      <c r="I165" s="60" t="s">
        <v>133</v>
      </c>
      <c r="J165" s="62">
        <v>4970.2299999999996</v>
      </c>
      <c r="K165" s="67" t="s">
        <v>72</v>
      </c>
      <c r="L165" s="60">
        <v>55</v>
      </c>
    </row>
    <row r="166" spans="1:12" ht="18" customHeight="1" x14ac:dyDescent="0.2">
      <c r="A166" s="64">
        <v>164</v>
      </c>
      <c r="B166" s="64" t="s">
        <v>45</v>
      </c>
      <c r="C166" s="64" t="s">
        <v>57</v>
      </c>
      <c r="D166" s="64" t="s">
        <v>58</v>
      </c>
      <c r="E166" s="65">
        <v>45723</v>
      </c>
      <c r="F166" s="65">
        <v>45754</v>
      </c>
      <c r="G166" s="65">
        <v>45747</v>
      </c>
      <c r="H166" s="66">
        <v>7485.76</v>
      </c>
      <c r="I166" s="64" t="s">
        <v>133</v>
      </c>
      <c r="J166" s="66">
        <v>7485.76</v>
      </c>
      <c r="K166" s="67" t="s">
        <v>72</v>
      </c>
      <c r="L166" s="64">
        <v>24</v>
      </c>
    </row>
    <row r="167" spans="1:12" ht="18" customHeight="1" x14ac:dyDescent="0.2">
      <c r="A167" s="60">
        <v>165</v>
      </c>
      <c r="B167" s="60" t="s">
        <v>45</v>
      </c>
      <c r="C167" s="60" t="s">
        <v>136</v>
      </c>
      <c r="D167" s="60" t="s">
        <v>137</v>
      </c>
      <c r="E167" s="61">
        <v>45702</v>
      </c>
      <c r="F167" s="61">
        <v>45748</v>
      </c>
      <c r="G167" s="61">
        <v>45734</v>
      </c>
      <c r="H167" s="62">
        <v>385.24</v>
      </c>
      <c r="I167" s="60" t="s">
        <v>133</v>
      </c>
      <c r="J167" s="62">
        <v>385.24</v>
      </c>
      <c r="K167" s="67" t="s">
        <v>72</v>
      </c>
      <c r="L167" s="60">
        <v>32</v>
      </c>
    </row>
    <row r="168" spans="1:12" ht="18" customHeight="1" x14ac:dyDescent="0.2">
      <c r="A168" s="64">
        <v>166</v>
      </c>
      <c r="B168" s="64" t="s">
        <v>29</v>
      </c>
      <c r="C168" s="64" t="s">
        <v>57</v>
      </c>
      <c r="D168" s="64" t="s">
        <v>58</v>
      </c>
      <c r="E168" s="65">
        <v>45785</v>
      </c>
      <c r="F168" s="65">
        <v>45818</v>
      </c>
      <c r="G168" s="65">
        <v>45839</v>
      </c>
      <c r="H168" s="66">
        <v>1298.6300000000001</v>
      </c>
      <c r="I168" s="64" t="s">
        <v>133</v>
      </c>
      <c r="J168" s="66">
        <v>1298.6300000000001</v>
      </c>
      <c r="K168" s="67" t="s">
        <v>72</v>
      </c>
      <c r="L168" s="64">
        <v>54</v>
      </c>
    </row>
    <row r="169" spans="1:12" ht="18" customHeight="1" x14ac:dyDescent="0.2">
      <c r="A169" s="60">
        <v>167</v>
      </c>
      <c r="B169" s="60" t="s">
        <v>45</v>
      </c>
      <c r="C169" s="60" t="s">
        <v>53</v>
      </c>
      <c r="D169" s="60" t="s">
        <v>41</v>
      </c>
      <c r="E169" s="61">
        <v>45741</v>
      </c>
      <c r="F169" s="61">
        <v>45756</v>
      </c>
      <c r="G169" s="61">
        <v>45786</v>
      </c>
      <c r="H169" s="62">
        <v>425.31</v>
      </c>
      <c r="I169" s="60" t="s">
        <v>133</v>
      </c>
      <c r="J169" s="62">
        <v>425.31</v>
      </c>
      <c r="K169" s="67" t="s">
        <v>72</v>
      </c>
      <c r="L169" s="60">
        <v>45</v>
      </c>
    </row>
    <row r="170" spans="1:12" ht="18" customHeight="1" x14ac:dyDescent="0.2">
      <c r="A170" s="64">
        <v>168</v>
      </c>
      <c r="B170" s="64" t="s">
        <v>29</v>
      </c>
      <c r="C170" s="64" t="s">
        <v>62</v>
      </c>
      <c r="D170" s="64" t="s">
        <v>33</v>
      </c>
      <c r="E170" s="65">
        <v>45667</v>
      </c>
      <c r="F170" s="65">
        <v>45700</v>
      </c>
      <c r="G170" s="65">
        <v>45727</v>
      </c>
      <c r="H170" s="66">
        <v>3938.86</v>
      </c>
      <c r="I170" s="64" t="s">
        <v>138</v>
      </c>
      <c r="J170" s="66">
        <v>2914.7564000000002</v>
      </c>
      <c r="K170" s="67" t="s">
        <v>72</v>
      </c>
      <c r="L170" s="64">
        <v>60</v>
      </c>
    </row>
    <row r="171" spans="1:12" ht="18" customHeight="1" x14ac:dyDescent="0.2">
      <c r="A171" s="60">
        <v>169</v>
      </c>
      <c r="B171" s="60" t="s">
        <v>29</v>
      </c>
      <c r="C171" s="60" t="s">
        <v>48</v>
      </c>
      <c r="D171" s="60" t="s">
        <v>49</v>
      </c>
      <c r="E171" s="61">
        <v>45706</v>
      </c>
      <c r="F171" s="61">
        <v>45737</v>
      </c>
      <c r="G171" s="61">
        <v>45752</v>
      </c>
      <c r="H171" s="62">
        <v>8327.36</v>
      </c>
      <c r="I171" s="60" t="s">
        <v>133</v>
      </c>
      <c r="J171" s="62">
        <v>8327.36</v>
      </c>
      <c r="K171" s="67" t="s">
        <v>72</v>
      </c>
      <c r="L171" s="60">
        <v>46</v>
      </c>
    </row>
    <row r="172" spans="1:12" ht="18" customHeight="1" x14ac:dyDescent="0.2">
      <c r="A172" s="64">
        <v>170</v>
      </c>
      <c r="B172" s="64" t="s">
        <v>37</v>
      </c>
      <c r="C172" s="64" t="s">
        <v>122</v>
      </c>
      <c r="D172" s="64" t="s">
        <v>132</v>
      </c>
      <c r="E172" s="65">
        <v>45763</v>
      </c>
      <c r="F172" s="65">
        <v>45795</v>
      </c>
      <c r="G172" s="65">
        <v>45763</v>
      </c>
      <c r="H172" s="66">
        <v>3257.64</v>
      </c>
      <c r="I172" s="64" t="s">
        <v>133</v>
      </c>
      <c r="J172" s="66">
        <v>3257.64</v>
      </c>
      <c r="K172" s="67" t="s">
        <v>72</v>
      </c>
      <c r="L172" s="64">
        <v>0</v>
      </c>
    </row>
    <row r="173" spans="1:12" ht="18" customHeight="1" x14ac:dyDescent="0.2">
      <c r="A173" s="60">
        <v>171</v>
      </c>
      <c r="B173" s="60" t="s">
        <v>29</v>
      </c>
      <c r="C173" s="60" t="s">
        <v>48</v>
      </c>
      <c r="D173" s="60" t="s">
        <v>49</v>
      </c>
      <c r="E173" s="61">
        <v>45661</v>
      </c>
      <c r="F173" s="61">
        <v>45693</v>
      </c>
      <c r="G173" s="61">
        <v>45717</v>
      </c>
      <c r="H173" s="62">
        <v>8907.49</v>
      </c>
      <c r="I173" s="60" t="s">
        <v>133</v>
      </c>
      <c r="J173" s="62">
        <v>8907.49</v>
      </c>
      <c r="K173" s="67" t="s">
        <v>72</v>
      </c>
      <c r="L173" s="60">
        <v>56</v>
      </c>
    </row>
    <row r="174" spans="1:12" ht="18" customHeight="1" x14ac:dyDescent="0.2">
      <c r="A174" s="64">
        <v>172</v>
      </c>
      <c r="B174" s="64" t="s">
        <v>45</v>
      </c>
      <c r="C174" s="64" t="s">
        <v>122</v>
      </c>
      <c r="D174" s="64" t="s">
        <v>132</v>
      </c>
      <c r="E174" s="65">
        <v>45777</v>
      </c>
      <c r="F174" s="65">
        <v>45810</v>
      </c>
      <c r="G174" s="64"/>
      <c r="H174" s="66">
        <v>9436.2199999999993</v>
      </c>
      <c r="I174" s="64" t="s">
        <v>138</v>
      </c>
      <c r="J174" s="66">
        <v>6982.8028000000004</v>
      </c>
      <c r="K174" s="63" t="s">
        <v>100</v>
      </c>
      <c r="L174" s="64"/>
    </row>
    <row r="175" spans="1:12" ht="18" customHeight="1" x14ac:dyDescent="0.2">
      <c r="A175" s="60">
        <v>173</v>
      </c>
      <c r="B175" s="60" t="s">
        <v>45</v>
      </c>
      <c r="C175" s="60" t="s">
        <v>48</v>
      </c>
      <c r="D175" s="60" t="s">
        <v>49</v>
      </c>
      <c r="E175" s="61">
        <v>45750</v>
      </c>
      <c r="F175" s="61">
        <v>45781</v>
      </c>
      <c r="G175" s="61">
        <v>45800</v>
      </c>
      <c r="H175" s="62">
        <v>251.95</v>
      </c>
      <c r="I175" s="60" t="s">
        <v>138</v>
      </c>
      <c r="J175" s="62">
        <v>186.44300000000001</v>
      </c>
      <c r="K175" s="67" t="s">
        <v>72</v>
      </c>
      <c r="L175" s="60">
        <v>50</v>
      </c>
    </row>
    <row r="176" spans="1:12" ht="18" customHeight="1" x14ac:dyDescent="0.2">
      <c r="A176" s="64">
        <v>174</v>
      </c>
      <c r="B176" s="64" t="s">
        <v>37</v>
      </c>
      <c r="C176" s="64" t="s">
        <v>57</v>
      </c>
      <c r="D176" s="64" t="s">
        <v>58</v>
      </c>
      <c r="E176" s="65">
        <v>45683</v>
      </c>
      <c r="F176" s="65">
        <v>45714</v>
      </c>
      <c r="G176" s="65">
        <v>45721</v>
      </c>
      <c r="H176" s="66">
        <v>7560.23</v>
      </c>
      <c r="I176" s="64" t="s">
        <v>133</v>
      </c>
      <c r="J176" s="66">
        <v>7560.23</v>
      </c>
      <c r="K176" s="67" t="s">
        <v>72</v>
      </c>
      <c r="L176" s="64">
        <v>38</v>
      </c>
    </row>
    <row r="177" spans="1:12" ht="18" customHeight="1" x14ac:dyDescent="0.2">
      <c r="A177" s="60">
        <v>175</v>
      </c>
      <c r="B177" s="60" t="s">
        <v>29</v>
      </c>
      <c r="C177" s="60" t="s">
        <v>40</v>
      </c>
      <c r="D177" s="60" t="s">
        <v>41</v>
      </c>
      <c r="E177" s="61">
        <v>45701</v>
      </c>
      <c r="F177" s="61">
        <v>45734</v>
      </c>
      <c r="G177" s="60"/>
      <c r="H177" s="62">
        <v>2984.71</v>
      </c>
      <c r="I177" s="60" t="s">
        <v>133</v>
      </c>
      <c r="J177" s="62">
        <v>2984.71</v>
      </c>
      <c r="K177" s="68" t="s">
        <v>95</v>
      </c>
      <c r="L177" s="60"/>
    </row>
    <row r="178" spans="1:12" ht="18" customHeight="1" x14ac:dyDescent="0.2">
      <c r="A178" s="64">
        <v>176</v>
      </c>
      <c r="B178" s="64" t="s">
        <v>45</v>
      </c>
      <c r="C178" s="64" t="s">
        <v>48</v>
      </c>
      <c r="D178" s="64" t="s">
        <v>49</v>
      </c>
      <c r="E178" s="65">
        <v>45796</v>
      </c>
      <c r="F178" s="65">
        <v>45826</v>
      </c>
      <c r="G178" s="65">
        <v>45813</v>
      </c>
      <c r="H178" s="66">
        <v>9088.0400000000009</v>
      </c>
      <c r="I178" s="64" t="s">
        <v>133</v>
      </c>
      <c r="J178" s="66">
        <v>9088.0400000000009</v>
      </c>
      <c r="K178" s="67" t="s">
        <v>72</v>
      </c>
      <c r="L178" s="64">
        <v>17</v>
      </c>
    </row>
    <row r="179" spans="1:12" ht="18" customHeight="1" x14ac:dyDescent="0.2">
      <c r="A179" s="60">
        <v>177</v>
      </c>
      <c r="B179" s="60" t="s">
        <v>37</v>
      </c>
      <c r="C179" s="60" t="s">
        <v>40</v>
      </c>
      <c r="D179" s="60" t="s">
        <v>41</v>
      </c>
      <c r="E179" s="61">
        <v>45788</v>
      </c>
      <c r="F179" s="61">
        <v>45821</v>
      </c>
      <c r="G179" s="60"/>
      <c r="H179" s="62">
        <v>2799.07</v>
      </c>
      <c r="I179" s="60" t="s">
        <v>133</v>
      </c>
      <c r="J179" s="62">
        <v>2799.07</v>
      </c>
      <c r="K179" s="68" t="s">
        <v>95</v>
      </c>
      <c r="L179" s="60"/>
    </row>
    <row r="180" spans="1:12" ht="18" customHeight="1" x14ac:dyDescent="0.2">
      <c r="A180" s="64">
        <v>178</v>
      </c>
      <c r="B180" s="64" t="s">
        <v>45</v>
      </c>
      <c r="C180" s="64" t="s">
        <v>62</v>
      </c>
      <c r="D180" s="64" t="s">
        <v>33</v>
      </c>
      <c r="E180" s="65">
        <v>45727</v>
      </c>
      <c r="F180" s="65">
        <v>45758</v>
      </c>
      <c r="G180" s="64"/>
      <c r="H180" s="66">
        <v>9357.98</v>
      </c>
      <c r="I180" s="64" t="s">
        <v>138</v>
      </c>
      <c r="J180" s="66">
        <v>6924.9052000000001</v>
      </c>
      <c r="K180" s="63" t="s">
        <v>100</v>
      </c>
      <c r="L180" s="64"/>
    </row>
    <row r="181" spans="1:12" ht="18" customHeight="1" x14ac:dyDescent="0.2">
      <c r="A181" s="60">
        <v>179</v>
      </c>
      <c r="B181" s="60" t="s">
        <v>29</v>
      </c>
      <c r="C181" s="60" t="s">
        <v>139</v>
      </c>
      <c r="D181" s="60" t="s">
        <v>140</v>
      </c>
      <c r="E181" s="61">
        <v>45662</v>
      </c>
      <c r="F181" s="61">
        <v>45708</v>
      </c>
      <c r="G181" s="61">
        <v>45694</v>
      </c>
      <c r="H181" s="62">
        <v>713.17</v>
      </c>
      <c r="I181" s="60" t="s">
        <v>133</v>
      </c>
      <c r="J181" s="62">
        <v>713.17</v>
      </c>
      <c r="K181" s="67" t="s">
        <v>72</v>
      </c>
      <c r="L181" s="60">
        <v>32</v>
      </c>
    </row>
    <row r="182" spans="1:12" ht="18" customHeight="1" x14ac:dyDescent="0.2">
      <c r="A182" s="64">
        <v>180</v>
      </c>
      <c r="B182" s="64" t="s">
        <v>29</v>
      </c>
      <c r="C182" s="64" t="s">
        <v>40</v>
      </c>
      <c r="D182" s="64" t="s">
        <v>41</v>
      </c>
      <c r="E182" s="65">
        <v>45666</v>
      </c>
      <c r="F182" s="65">
        <v>45697</v>
      </c>
      <c r="G182" s="64"/>
      <c r="H182" s="66">
        <v>7000.9</v>
      </c>
      <c r="I182" s="64" t="s">
        <v>133</v>
      </c>
      <c r="J182" s="66">
        <v>7000.9</v>
      </c>
      <c r="K182" s="68" t="s">
        <v>95</v>
      </c>
      <c r="L182" s="64"/>
    </row>
    <row r="183" spans="1:12" ht="18" customHeight="1" x14ac:dyDescent="0.2">
      <c r="A183" s="60">
        <v>181</v>
      </c>
      <c r="B183" s="60" t="s">
        <v>29</v>
      </c>
      <c r="C183" s="60" t="s">
        <v>40</v>
      </c>
      <c r="D183" s="60" t="s">
        <v>41</v>
      </c>
      <c r="E183" s="61">
        <v>45751</v>
      </c>
      <c r="F183" s="61">
        <v>45781</v>
      </c>
      <c r="G183" s="61">
        <v>45788</v>
      </c>
      <c r="H183" s="62">
        <v>9063.92</v>
      </c>
      <c r="I183" s="60" t="s">
        <v>133</v>
      </c>
      <c r="J183" s="62">
        <v>9063.92</v>
      </c>
      <c r="K183" s="67" t="s">
        <v>72</v>
      </c>
      <c r="L183" s="60">
        <v>37</v>
      </c>
    </row>
    <row r="184" spans="1:12" ht="18" customHeight="1" x14ac:dyDescent="0.2">
      <c r="A184" s="64">
        <v>182</v>
      </c>
      <c r="B184" s="64" t="s">
        <v>29</v>
      </c>
      <c r="C184" s="64" t="s">
        <v>122</v>
      </c>
      <c r="D184" s="64" t="s">
        <v>132</v>
      </c>
      <c r="E184" s="65">
        <v>45706</v>
      </c>
      <c r="F184" s="65">
        <v>45738</v>
      </c>
      <c r="G184" s="65">
        <v>45752</v>
      </c>
      <c r="H184" s="66">
        <v>5495.44</v>
      </c>
      <c r="I184" s="64" t="s">
        <v>133</v>
      </c>
      <c r="J184" s="66">
        <v>5495.44</v>
      </c>
      <c r="K184" s="67" t="s">
        <v>72</v>
      </c>
      <c r="L184" s="64">
        <v>46</v>
      </c>
    </row>
    <row r="185" spans="1:12" ht="18" customHeight="1" x14ac:dyDescent="0.2">
      <c r="A185" s="60">
        <v>183</v>
      </c>
      <c r="B185" s="60" t="s">
        <v>29</v>
      </c>
      <c r="C185" s="60" t="s">
        <v>53</v>
      </c>
      <c r="D185" s="60" t="s">
        <v>41</v>
      </c>
      <c r="E185" s="61">
        <v>45747</v>
      </c>
      <c r="F185" s="61">
        <v>45765</v>
      </c>
      <c r="G185" s="61">
        <v>45782</v>
      </c>
      <c r="H185" s="62">
        <v>8569.58</v>
      </c>
      <c r="I185" s="60" t="s">
        <v>133</v>
      </c>
      <c r="J185" s="62">
        <v>8569.58</v>
      </c>
      <c r="K185" s="67" t="s">
        <v>72</v>
      </c>
      <c r="L185" s="60">
        <v>35</v>
      </c>
    </row>
    <row r="186" spans="1:12" ht="18" customHeight="1" x14ac:dyDescent="0.2">
      <c r="A186" s="64">
        <v>184</v>
      </c>
      <c r="B186" s="64" t="s">
        <v>29</v>
      </c>
      <c r="C186" s="64" t="s">
        <v>40</v>
      </c>
      <c r="D186" s="64" t="s">
        <v>41</v>
      </c>
      <c r="E186" s="65">
        <v>45693</v>
      </c>
      <c r="F186" s="65">
        <v>45725</v>
      </c>
      <c r="G186" s="64"/>
      <c r="H186" s="66">
        <v>1354.55</v>
      </c>
      <c r="I186" s="64" t="s">
        <v>133</v>
      </c>
      <c r="J186" s="66">
        <v>1354.55</v>
      </c>
      <c r="K186" s="68" t="s">
        <v>95</v>
      </c>
      <c r="L186" s="64"/>
    </row>
    <row r="187" spans="1:12" ht="18" customHeight="1" x14ac:dyDescent="0.2">
      <c r="A187" s="60">
        <v>185</v>
      </c>
      <c r="B187" s="60" t="s">
        <v>29</v>
      </c>
      <c r="C187" s="60" t="s">
        <v>32</v>
      </c>
      <c r="D187" s="60" t="s">
        <v>33</v>
      </c>
      <c r="E187" s="61">
        <v>45694</v>
      </c>
      <c r="F187" s="61">
        <v>45726</v>
      </c>
      <c r="G187" s="61">
        <v>45735</v>
      </c>
      <c r="H187" s="62">
        <v>8571.33</v>
      </c>
      <c r="I187" s="60" t="s">
        <v>133</v>
      </c>
      <c r="J187" s="62">
        <v>8571.33</v>
      </c>
      <c r="K187" s="67" t="s">
        <v>72</v>
      </c>
      <c r="L187" s="60">
        <v>41</v>
      </c>
    </row>
    <row r="188" spans="1:12" ht="18" customHeight="1" x14ac:dyDescent="0.2">
      <c r="A188" s="64">
        <v>186</v>
      </c>
      <c r="B188" s="64" t="s">
        <v>37</v>
      </c>
      <c r="C188" s="64" t="s">
        <v>62</v>
      </c>
      <c r="D188" s="64" t="s">
        <v>33</v>
      </c>
      <c r="E188" s="65">
        <v>45686</v>
      </c>
      <c r="F188" s="65">
        <v>45719</v>
      </c>
      <c r="G188" s="65">
        <v>45729</v>
      </c>
      <c r="H188" s="66">
        <v>1906.24</v>
      </c>
      <c r="I188" s="64" t="s">
        <v>133</v>
      </c>
      <c r="J188" s="66">
        <v>1906.24</v>
      </c>
      <c r="K188" s="67" t="s">
        <v>72</v>
      </c>
      <c r="L188" s="64">
        <v>43</v>
      </c>
    </row>
    <row r="189" spans="1:12" ht="18" customHeight="1" x14ac:dyDescent="0.2">
      <c r="A189" s="60">
        <v>187</v>
      </c>
      <c r="B189" s="60" t="s">
        <v>37</v>
      </c>
      <c r="C189" s="60" t="s">
        <v>139</v>
      </c>
      <c r="D189" s="60" t="s">
        <v>140</v>
      </c>
      <c r="E189" s="61">
        <v>45791</v>
      </c>
      <c r="F189" s="61">
        <v>45837</v>
      </c>
      <c r="G189" s="60"/>
      <c r="H189" s="62">
        <v>9935.2800000000007</v>
      </c>
      <c r="I189" s="60" t="s">
        <v>133</v>
      </c>
      <c r="J189" s="62">
        <v>9935.2800000000007</v>
      </c>
      <c r="K189" s="63" t="s">
        <v>100</v>
      </c>
      <c r="L189" s="60"/>
    </row>
    <row r="190" spans="1:12" ht="18" customHeight="1" x14ac:dyDescent="0.2">
      <c r="A190" s="64">
        <v>188</v>
      </c>
      <c r="B190" s="64" t="s">
        <v>37</v>
      </c>
      <c r="C190" s="64" t="s">
        <v>139</v>
      </c>
      <c r="D190" s="64" t="s">
        <v>140</v>
      </c>
      <c r="E190" s="65">
        <v>45744</v>
      </c>
      <c r="F190" s="65">
        <v>45789</v>
      </c>
      <c r="G190" s="65">
        <v>45763</v>
      </c>
      <c r="H190" s="66">
        <v>4886.17</v>
      </c>
      <c r="I190" s="64" t="s">
        <v>138</v>
      </c>
      <c r="J190" s="66">
        <v>3615.7658000000001</v>
      </c>
      <c r="K190" s="67" t="s">
        <v>72</v>
      </c>
      <c r="L190" s="64">
        <v>19</v>
      </c>
    </row>
    <row r="191" spans="1:12" ht="18" customHeight="1" x14ac:dyDescent="0.2">
      <c r="A191" s="60">
        <v>189</v>
      </c>
      <c r="B191" s="60" t="s">
        <v>29</v>
      </c>
      <c r="C191" s="60" t="s">
        <v>136</v>
      </c>
      <c r="D191" s="60" t="s">
        <v>137</v>
      </c>
      <c r="E191" s="61">
        <v>45740</v>
      </c>
      <c r="F191" s="61">
        <v>45785</v>
      </c>
      <c r="G191" s="61">
        <v>45753</v>
      </c>
      <c r="H191" s="62">
        <v>8618.7900000000009</v>
      </c>
      <c r="I191" s="60" t="s">
        <v>133</v>
      </c>
      <c r="J191" s="62">
        <v>8618.7900000000009</v>
      </c>
      <c r="K191" s="67" t="s">
        <v>72</v>
      </c>
      <c r="L191" s="60">
        <v>13</v>
      </c>
    </row>
    <row r="192" spans="1:12" ht="18" customHeight="1" x14ac:dyDescent="0.2">
      <c r="A192" s="64">
        <v>190</v>
      </c>
      <c r="B192" s="64" t="s">
        <v>29</v>
      </c>
      <c r="C192" s="64" t="s">
        <v>57</v>
      </c>
      <c r="D192" s="64" t="s">
        <v>58</v>
      </c>
      <c r="E192" s="65">
        <v>45674</v>
      </c>
      <c r="F192" s="65">
        <v>45704</v>
      </c>
      <c r="G192" s="65">
        <v>45709</v>
      </c>
      <c r="H192" s="66">
        <v>1068.44</v>
      </c>
      <c r="I192" s="64" t="s">
        <v>133</v>
      </c>
      <c r="J192" s="66">
        <v>1068.44</v>
      </c>
      <c r="K192" s="67" t="s">
        <v>72</v>
      </c>
      <c r="L192" s="64">
        <v>35</v>
      </c>
    </row>
    <row r="193" spans="1:12" ht="18" customHeight="1" x14ac:dyDescent="0.2">
      <c r="A193" s="60">
        <v>191</v>
      </c>
      <c r="B193" s="60" t="s">
        <v>45</v>
      </c>
      <c r="C193" s="60" t="s">
        <v>53</v>
      </c>
      <c r="D193" s="60" t="s">
        <v>41</v>
      </c>
      <c r="E193" s="61">
        <v>45792</v>
      </c>
      <c r="F193" s="61">
        <v>45810</v>
      </c>
      <c r="G193" s="60"/>
      <c r="H193" s="62">
        <v>841.64</v>
      </c>
      <c r="I193" s="60" t="s">
        <v>133</v>
      </c>
      <c r="J193" s="62">
        <v>841.64</v>
      </c>
      <c r="K193" s="63" t="s">
        <v>100</v>
      </c>
      <c r="L193" s="60"/>
    </row>
    <row r="194" spans="1:12" ht="18" customHeight="1" x14ac:dyDescent="0.2">
      <c r="A194" s="64">
        <v>192</v>
      </c>
      <c r="B194" s="64" t="s">
        <v>37</v>
      </c>
      <c r="C194" s="64" t="s">
        <v>62</v>
      </c>
      <c r="D194" s="64" t="s">
        <v>33</v>
      </c>
      <c r="E194" s="65">
        <v>45706</v>
      </c>
      <c r="F194" s="65">
        <v>45737</v>
      </c>
      <c r="G194" s="65">
        <v>45763</v>
      </c>
      <c r="H194" s="66">
        <v>1004.92</v>
      </c>
      <c r="I194" s="64" t="s">
        <v>133</v>
      </c>
      <c r="J194" s="66">
        <v>1004.92</v>
      </c>
      <c r="K194" s="67" t="s">
        <v>72</v>
      </c>
      <c r="L194" s="64">
        <v>57</v>
      </c>
    </row>
    <row r="195" spans="1:12" ht="18" customHeight="1" x14ac:dyDescent="0.2">
      <c r="A195" s="60">
        <v>193</v>
      </c>
      <c r="B195" s="60" t="s">
        <v>45</v>
      </c>
      <c r="C195" s="60" t="s">
        <v>134</v>
      </c>
      <c r="D195" s="60" t="s">
        <v>135</v>
      </c>
      <c r="E195" s="61">
        <v>45760</v>
      </c>
      <c r="F195" s="61">
        <v>45793</v>
      </c>
      <c r="G195" s="61">
        <v>45797</v>
      </c>
      <c r="H195" s="62">
        <v>3253.22</v>
      </c>
      <c r="I195" s="60" t="s">
        <v>133</v>
      </c>
      <c r="J195" s="62">
        <v>3253.22</v>
      </c>
      <c r="K195" s="67" t="s">
        <v>72</v>
      </c>
      <c r="L195" s="60">
        <v>37</v>
      </c>
    </row>
    <row r="196" spans="1:12" ht="18" customHeight="1" x14ac:dyDescent="0.2">
      <c r="A196" s="64">
        <v>194</v>
      </c>
      <c r="B196" s="64" t="s">
        <v>37</v>
      </c>
      <c r="C196" s="64" t="s">
        <v>62</v>
      </c>
      <c r="D196" s="64" t="s">
        <v>33</v>
      </c>
      <c r="E196" s="65">
        <v>45782</v>
      </c>
      <c r="F196" s="65">
        <v>45813</v>
      </c>
      <c r="G196" s="65">
        <v>45807</v>
      </c>
      <c r="H196" s="66">
        <v>3636.57</v>
      </c>
      <c r="I196" s="64" t="s">
        <v>133</v>
      </c>
      <c r="J196" s="66">
        <v>3636.57</v>
      </c>
      <c r="K196" s="67" t="s">
        <v>72</v>
      </c>
      <c r="L196" s="64">
        <v>25</v>
      </c>
    </row>
    <row r="197" spans="1:12" ht="18" customHeight="1" x14ac:dyDescent="0.2">
      <c r="A197" s="60">
        <v>195</v>
      </c>
      <c r="B197" s="60" t="s">
        <v>29</v>
      </c>
      <c r="C197" s="60" t="s">
        <v>32</v>
      </c>
      <c r="D197" s="60" t="s">
        <v>33</v>
      </c>
      <c r="E197" s="61">
        <v>45748</v>
      </c>
      <c r="F197" s="61">
        <v>45779</v>
      </c>
      <c r="G197" s="60"/>
      <c r="H197" s="62">
        <v>7586.96</v>
      </c>
      <c r="I197" s="60" t="s">
        <v>138</v>
      </c>
      <c r="J197" s="62">
        <v>5614.3504000000003</v>
      </c>
      <c r="K197" s="63" t="s">
        <v>100</v>
      </c>
      <c r="L197" s="60"/>
    </row>
    <row r="198" spans="1:12" ht="18" customHeight="1" x14ac:dyDescent="0.2">
      <c r="A198" s="64">
        <v>196</v>
      </c>
      <c r="B198" s="64" t="s">
        <v>45</v>
      </c>
      <c r="C198" s="64" t="s">
        <v>48</v>
      </c>
      <c r="D198" s="64" t="s">
        <v>49</v>
      </c>
      <c r="E198" s="65">
        <v>45777</v>
      </c>
      <c r="F198" s="65">
        <v>45809</v>
      </c>
      <c r="G198" s="65">
        <v>45829</v>
      </c>
      <c r="H198" s="66">
        <v>5004.6000000000004</v>
      </c>
      <c r="I198" s="64" t="s">
        <v>133</v>
      </c>
      <c r="J198" s="66">
        <v>5004.6000000000004</v>
      </c>
      <c r="K198" s="67" t="s">
        <v>72</v>
      </c>
      <c r="L198" s="64">
        <v>52</v>
      </c>
    </row>
    <row r="199" spans="1:12" ht="18" customHeight="1" x14ac:dyDescent="0.2">
      <c r="A199" s="60">
        <v>197</v>
      </c>
      <c r="B199" s="60" t="s">
        <v>45</v>
      </c>
      <c r="C199" s="60" t="s">
        <v>32</v>
      </c>
      <c r="D199" s="60" t="s">
        <v>33</v>
      </c>
      <c r="E199" s="61">
        <v>45665</v>
      </c>
      <c r="F199" s="61">
        <v>45696</v>
      </c>
      <c r="G199" s="61">
        <v>45714</v>
      </c>
      <c r="H199" s="62">
        <v>3882.28</v>
      </c>
      <c r="I199" s="60" t="s">
        <v>138</v>
      </c>
      <c r="J199" s="62">
        <v>2872.8872000000001</v>
      </c>
      <c r="K199" s="67" t="s">
        <v>72</v>
      </c>
      <c r="L199" s="60">
        <v>49</v>
      </c>
    </row>
    <row r="200" spans="1:12" ht="18" customHeight="1" x14ac:dyDescent="0.2">
      <c r="A200" s="64">
        <v>198</v>
      </c>
      <c r="B200" s="64" t="s">
        <v>45</v>
      </c>
      <c r="C200" s="64" t="s">
        <v>122</v>
      </c>
      <c r="D200" s="64" t="s">
        <v>132</v>
      </c>
      <c r="E200" s="65">
        <v>45736</v>
      </c>
      <c r="F200" s="65">
        <v>45768</v>
      </c>
      <c r="G200" s="65">
        <v>45756</v>
      </c>
      <c r="H200" s="66">
        <v>5865.48</v>
      </c>
      <c r="I200" s="64" t="s">
        <v>133</v>
      </c>
      <c r="J200" s="66">
        <v>5865.48</v>
      </c>
      <c r="K200" s="67" t="s">
        <v>72</v>
      </c>
      <c r="L200" s="64">
        <v>20</v>
      </c>
    </row>
    <row r="201" spans="1:12" ht="18" customHeight="1" x14ac:dyDescent="0.2">
      <c r="A201" s="60">
        <v>199</v>
      </c>
      <c r="B201" s="60" t="s">
        <v>45</v>
      </c>
      <c r="C201" s="60" t="s">
        <v>62</v>
      </c>
      <c r="D201" s="60" t="s">
        <v>33</v>
      </c>
      <c r="E201" s="61">
        <v>45678</v>
      </c>
      <c r="F201" s="61">
        <v>45710</v>
      </c>
      <c r="G201" s="61">
        <v>45730</v>
      </c>
      <c r="H201" s="62">
        <v>944.71</v>
      </c>
      <c r="I201" s="60" t="s">
        <v>133</v>
      </c>
      <c r="J201" s="62">
        <v>944.71</v>
      </c>
      <c r="K201" s="67" t="s">
        <v>72</v>
      </c>
      <c r="L201" s="60">
        <v>52</v>
      </c>
    </row>
    <row r="202" spans="1:12" ht="18" customHeight="1" x14ac:dyDescent="0.2">
      <c r="A202" s="64">
        <v>200</v>
      </c>
      <c r="B202" s="64" t="s">
        <v>45</v>
      </c>
      <c r="C202" s="64" t="s">
        <v>40</v>
      </c>
      <c r="D202" s="64" t="s">
        <v>41</v>
      </c>
      <c r="E202" s="65">
        <v>45745</v>
      </c>
      <c r="F202" s="65">
        <v>45778</v>
      </c>
      <c r="G202" s="65">
        <v>45755</v>
      </c>
      <c r="H202" s="66">
        <v>4592.57</v>
      </c>
      <c r="I202" s="64" t="s">
        <v>133</v>
      </c>
      <c r="J202" s="66">
        <v>4592.57</v>
      </c>
      <c r="K202" s="67" t="s">
        <v>72</v>
      </c>
      <c r="L202" s="64">
        <v>10</v>
      </c>
    </row>
    <row r="203" spans="1:12" ht="18" customHeight="1" x14ac:dyDescent="0.2">
      <c r="A203" s="60">
        <v>1001</v>
      </c>
      <c r="B203" s="60" t="s">
        <v>37</v>
      </c>
      <c r="C203" s="60" t="s">
        <v>136</v>
      </c>
      <c r="D203" s="60" t="s">
        <v>137</v>
      </c>
      <c r="E203" s="61">
        <v>45795</v>
      </c>
      <c r="F203" s="61">
        <v>45843</v>
      </c>
      <c r="G203" s="61">
        <v>45802</v>
      </c>
      <c r="H203" s="62">
        <v>299.49</v>
      </c>
      <c r="I203" s="60" t="s">
        <v>138</v>
      </c>
      <c r="J203" s="62">
        <v>221.62260000000001</v>
      </c>
      <c r="K203" s="67" t="s">
        <v>72</v>
      </c>
      <c r="L203" s="60">
        <v>7</v>
      </c>
    </row>
  </sheetData>
  <autoFilter ref="A2:L203" xr:uid="{00000000-0009-0000-0000-000001000000}">
    <sortState xmlns:xlrd2="http://schemas.microsoft.com/office/spreadsheetml/2017/richdata2" ref="A3:L203">
      <sortCondition descending="1" ref="B3:B20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A1:K10"/>
  <sheetViews>
    <sheetView showGridLines="0" zoomScaleNormal="100" workbookViewId="0">
      <selection activeCell="N13" sqref="N13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5" width="16" customWidth="1"/>
    <col min="6" max="7" width="14" customWidth="1"/>
  </cols>
  <sheetData>
    <row r="1" spans="1:11" ht="7.5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31.5" customHeight="1" x14ac:dyDescent="0.2">
      <c r="B2" s="142" t="s">
        <v>141</v>
      </c>
      <c r="C2" s="142"/>
      <c r="D2" s="142"/>
      <c r="E2" s="142"/>
      <c r="F2" s="142"/>
      <c r="G2" s="142"/>
      <c r="H2" s="142"/>
      <c r="I2" s="142"/>
      <c r="J2" s="142"/>
    </row>
    <row r="4" spans="1:11" ht="27.75" customHeight="1" x14ac:dyDescent="0.2">
      <c r="B4" s="69" t="s">
        <v>142</v>
      </c>
      <c r="C4" s="69" t="s">
        <v>143</v>
      </c>
      <c r="D4" s="69" t="s">
        <v>144</v>
      </c>
      <c r="E4" s="69" t="s">
        <v>145</v>
      </c>
      <c r="F4" s="69" t="s">
        <v>146</v>
      </c>
      <c r="G4" s="69" t="s">
        <v>147</v>
      </c>
    </row>
    <row r="5" spans="1:11" ht="19.5" customHeight="1" x14ac:dyDescent="0.2">
      <c r="B5" s="70" t="s">
        <v>148</v>
      </c>
      <c r="C5" s="71">
        <v>40</v>
      </c>
      <c r="D5" s="72">
        <v>121070.4626</v>
      </c>
      <c r="E5" s="72">
        <v>59311.98</v>
      </c>
      <c r="F5" s="71">
        <v>29</v>
      </c>
      <c r="G5" s="71">
        <v>11</v>
      </c>
    </row>
    <row r="6" spans="1:11" ht="19.5" customHeight="1" x14ac:dyDescent="0.2">
      <c r="B6" s="73" t="s">
        <v>149</v>
      </c>
      <c r="C6" s="74">
        <v>42</v>
      </c>
      <c r="D6" s="75">
        <v>399047.58760000003</v>
      </c>
      <c r="E6" s="75">
        <v>47244.219400000002</v>
      </c>
      <c r="F6" s="74">
        <v>33</v>
      </c>
      <c r="G6" s="74">
        <v>9</v>
      </c>
    </row>
    <row r="7" spans="1:11" ht="19.5" customHeight="1" x14ac:dyDescent="0.2">
      <c r="B7" s="70" t="s">
        <v>150</v>
      </c>
      <c r="C7" s="71">
        <v>52</v>
      </c>
      <c r="D7" s="72">
        <v>201198.85620000001</v>
      </c>
      <c r="E7" s="72">
        <v>67545.477400000003</v>
      </c>
      <c r="F7" s="71">
        <v>39</v>
      </c>
      <c r="G7" s="71">
        <v>13</v>
      </c>
    </row>
    <row r="8" spans="1:11" ht="19.5" customHeight="1" x14ac:dyDescent="0.2">
      <c r="B8" s="73" t="s">
        <v>151</v>
      </c>
      <c r="C8" s="74">
        <v>30</v>
      </c>
      <c r="D8" s="75">
        <v>131231.6054</v>
      </c>
      <c r="E8" s="75">
        <v>47117.792000000001</v>
      </c>
      <c r="F8" s="74">
        <v>23</v>
      </c>
      <c r="G8" s="74">
        <v>7</v>
      </c>
    </row>
    <row r="9" spans="1:11" ht="19.5" customHeight="1" x14ac:dyDescent="0.2">
      <c r="B9" s="70" t="s">
        <v>152</v>
      </c>
      <c r="C9" s="71">
        <v>37</v>
      </c>
      <c r="D9" s="72">
        <v>122297.7978</v>
      </c>
      <c r="E9" s="72">
        <v>39763.927799999998</v>
      </c>
      <c r="F9" s="71">
        <v>28</v>
      </c>
      <c r="G9" s="71">
        <v>9</v>
      </c>
    </row>
    <row r="10" spans="1:11" ht="21.75" customHeight="1" x14ac:dyDescent="0.2">
      <c r="B10" s="76" t="s">
        <v>153</v>
      </c>
      <c r="C10" s="77">
        <f>SUM(C5:C9)</f>
        <v>201</v>
      </c>
      <c r="D10" s="78">
        <f>SUM(D5:D9)</f>
        <v>974846.30960000004</v>
      </c>
      <c r="E10" s="78">
        <f>SUM(E5:E9)</f>
        <v>260983.39660000004</v>
      </c>
      <c r="F10" s="77">
        <f>SUM(F5:F9)</f>
        <v>152</v>
      </c>
      <c r="G10" s="77">
        <f>SUM(G5:G9)</f>
        <v>49</v>
      </c>
    </row>
  </sheetData>
  <mergeCells count="1">
    <mergeCell ref="B2:J2"/>
  </mergeCells>
  <conditionalFormatting sqref="D5:D9">
    <cfRule type="dataBar" priority="2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{FEF53BC7-18B7-4F32-92BA-727655F8BDEE}</x14:id>
        </ext>
      </extLst>
    </cfRule>
  </conditionalFormatting>
  <conditionalFormatting sqref="E5:E9">
    <cfRule type="dataBar" priority="3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{F7CB6E69-5B7E-4043-807B-A2CA8031FDE7}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F53BC7-18B7-4F32-92BA-727655F8BDEE}">
            <x14:dataBar axisPosition="none">
              <x14:cfvo type="min"/>
              <x14:cfvo type="max"/>
              <x14:negativeFillColor rgb="FF10B981"/>
            </x14:dataBar>
          </x14:cfRule>
          <xm:sqref>D5:D9</xm:sqref>
        </x14:conditionalFormatting>
        <x14:conditionalFormatting xmlns:xm="http://schemas.microsoft.com/office/excel/2006/main">
          <x14:cfRule type="dataBar" id="{F7CB6E69-5B7E-4043-807B-A2CA8031FDE7}">
            <x14:dataBar axisPosition="none">
              <x14:cfvo type="min"/>
              <x14:cfvo type="max"/>
              <x14:negativeFillColor rgb="FFF59E0B"/>
            </x14:dataBar>
          </x14:cfRule>
          <xm:sqref>E5:E9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M15"/>
  <sheetViews>
    <sheetView showGridLines="0" topLeftCell="A2" zoomScaleNormal="100" workbookViewId="0">
      <selection activeCell="H18" sqref="H18"/>
    </sheetView>
  </sheetViews>
  <sheetFormatPr baseColWidth="10" defaultColWidth="8.6640625" defaultRowHeight="15" x14ac:dyDescent="0.2"/>
  <cols>
    <col min="1" max="1" width="2" customWidth="1"/>
    <col min="2" max="2" width="22" customWidth="1"/>
    <col min="3" max="4" width="18" customWidth="1"/>
    <col min="5" max="5" width="14" customWidth="1"/>
    <col min="6" max="7" width="18" customWidth="1"/>
    <col min="8" max="8" width="14" customWidth="1"/>
  </cols>
  <sheetData>
    <row r="1" spans="1:13" ht="7.5" customHeight="1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31.5" customHeight="1" x14ac:dyDescent="0.2">
      <c r="B2" s="142" t="s">
        <v>154</v>
      </c>
      <c r="C2" s="142"/>
      <c r="D2" s="142"/>
      <c r="E2" s="142"/>
      <c r="F2" s="142"/>
      <c r="G2" s="142"/>
      <c r="H2" s="142"/>
      <c r="I2" s="142"/>
      <c r="J2" s="142"/>
    </row>
    <row r="4" spans="1:13" ht="27.75" customHeight="1" x14ac:dyDescent="0.2">
      <c r="B4" s="79" t="s">
        <v>23</v>
      </c>
      <c r="C4" s="79" t="s">
        <v>24</v>
      </c>
      <c r="D4" s="79" t="s">
        <v>155</v>
      </c>
      <c r="E4" s="79" t="s">
        <v>156</v>
      </c>
      <c r="F4" s="79" t="s">
        <v>157</v>
      </c>
      <c r="G4" s="79" t="s">
        <v>158</v>
      </c>
      <c r="H4" s="79" t="s">
        <v>159</v>
      </c>
    </row>
    <row r="5" spans="1:13" ht="19.5" customHeight="1" x14ac:dyDescent="0.2">
      <c r="B5" s="60" t="s">
        <v>32</v>
      </c>
      <c r="C5" s="60" t="s">
        <v>33</v>
      </c>
      <c r="D5" s="80">
        <v>303660.03279999999</v>
      </c>
      <c r="E5" s="81">
        <v>13</v>
      </c>
      <c r="F5" s="80">
        <v>23358.4640615385</v>
      </c>
      <c r="G5" s="82">
        <v>32.299999999999997</v>
      </c>
      <c r="H5" s="83">
        <v>0.31137710660781598</v>
      </c>
    </row>
    <row r="6" spans="1:13" ht="19.5" customHeight="1" x14ac:dyDescent="0.2">
      <c r="B6" s="84" t="s">
        <v>40</v>
      </c>
      <c r="C6" s="84" t="s">
        <v>41</v>
      </c>
      <c r="D6" s="85">
        <v>99450.532200000001</v>
      </c>
      <c r="E6" s="86">
        <v>20</v>
      </c>
      <c r="F6" s="85">
        <v>4972.5266099999999</v>
      </c>
      <c r="G6" s="87">
        <v>28.1</v>
      </c>
      <c r="H6" s="88">
        <v>0.101977921432417</v>
      </c>
    </row>
    <row r="7" spans="1:13" ht="19.5" customHeight="1" x14ac:dyDescent="0.2">
      <c r="B7" s="60" t="s">
        <v>48</v>
      </c>
      <c r="C7" s="60" t="s">
        <v>49</v>
      </c>
      <c r="D7" s="80">
        <v>87698.672000000006</v>
      </c>
      <c r="E7" s="81">
        <v>15</v>
      </c>
      <c r="F7" s="80">
        <v>5846.5781333333298</v>
      </c>
      <c r="G7" s="82">
        <v>38.700000000000003</v>
      </c>
      <c r="H7" s="83">
        <v>8.9927404963080396E-2</v>
      </c>
    </row>
    <row r="8" spans="1:13" ht="19.5" customHeight="1" x14ac:dyDescent="0.2">
      <c r="B8" s="84" t="s">
        <v>53</v>
      </c>
      <c r="C8" s="84" t="s">
        <v>41</v>
      </c>
      <c r="D8" s="85">
        <v>83404.195800000001</v>
      </c>
      <c r="E8" s="86">
        <v>17</v>
      </c>
      <c r="F8" s="85">
        <v>4906.1291647058797</v>
      </c>
      <c r="G8" s="87">
        <v>26.8</v>
      </c>
      <c r="H8" s="88">
        <v>8.55237909569104E-2</v>
      </c>
    </row>
    <row r="9" spans="1:13" ht="19.5" customHeight="1" x14ac:dyDescent="0.2">
      <c r="B9" s="60" t="s">
        <v>57</v>
      </c>
      <c r="C9" s="60" t="s">
        <v>58</v>
      </c>
      <c r="D9" s="80">
        <v>81188.824600000007</v>
      </c>
      <c r="E9" s="81">
        <v>16</v>
      </c>
      <c r="F9" s="80">
        <v>5074.3015375000004</v>
      </c>
      <c r="G9" s="82">
        <v>30.9</v>
      </c>
      <c r="H9" s="83">
        <v>8.3252119351142601E-2</v>
      </c>
    </row>
    <row r="10" spans="1:13" ht="19.5" customHeight="1" x14ac:dyDescent="0.2">
      <c r="B10" s="84" t="s">
        <v>62</v>
      </c>
      <c r="C10" s="84" t="s">
        <v>33</v>
      </c>
      <c r="D10" s="85">
        <v>80416.533200000005</v>
      </c>
      <c r="E10" s="86">
        <v>16</v>
      </c>
      <c r="F10" s="85">
        <v>5026.0333250000003</v>
      </c>
      <c r="G10" s="87">
        <v>40.200000000000003</v>
      </c>
      <c r="H10" s="88">
        <v>8.2460201299324104E-2</v>
      </c>
    </row>
    <row r="11" spans="1:13" ht="19.5" customHeight="1" x14ac:dyDescent="0.2">
      <c r="B11" s="60" t="s">
        <v>136</v>
      </c>
      <c r="C11" s="60" t="s">
        <v>137</v>
      </c>
      <c r="D11" s="80">
        <v>68806.52</v>
      </c>
      <c r="E11" s="81">
        <v>18</v>
      </c>
      <c r="F11" s="80">
        <v>3822.5844444444501</v>
      </c>
      <c r="G11" s="82">
        <v>24.1</v>
      </c>
      <c r="H11" s="83">
        <v>7.0555136663190202E-2</v>
      </c>
    </row>
    <row r="12" spans="1:13" ht="19.5" customHeight="1" x14ac:dyDescent="0.2">
      <c r="B12" s="84" t="s">
        <v>139</v>
      </c>
      <c r="C12" s="84" t="s">
        <v>140</v>
      </c>
      <c r="D12" s="85">
        <v>61958.817600000002</v>
      </c>
      <c r="E12" s="86">
        <v>14</v>
      </c>
      <c r="F12" s="85">
        <v>4425.6298285714302</v>
      </c>
      <c r="G12" s="87">
        <v>24.4</v>
      </c>
      <c r="H12" s="88">
        <v>6.3533409962568593E-2</v>
      </c>
    </row>
    <row r="13" spans="1:13" ht="19.5" customHeight="1" x14ac:dyDescent="0.2">
      <c r="B13" s="60" t="s">
        <v>122</v>
      </c>
      <c r="C13" s="60" t="s">
        <v>132</v>
      </c>
      <c r="D13" s="80">
        <v>58073.980799999998</v>
      </c>
      <c r="E13" s="81">
        <v>11</v>
      </c>
      <c r="F13" s="80">
        <v>5279.4528</v>
      </c>
      <c r="G13" s="82">
        <v>31.4</v>
      </c>
      <c r="H13" s="83">
        <v>5.9549845740192703E-2</v>
      </c>
    </row>
    <row r="14" spans="1:13" ht="19.5" customHeight="1" x14ac:dyDescent="0.2">
      <c r="B14" s="84" t="s">
        <v>134</v>
      </c>
      <c r="C14" s="84" t="s">
        <v>135</v>
      </c>
      <c r="D14" s="85">
        <v>50558.200599999996</v>
      </c>
      <c r="E14" s="86">
        <v>11</v>
      </c>
      <c r="F14" s="85">
        <v>4596.2000545454503</v>
      </c>
      <c r="G14" s="87">
        <v>31.1</v>
      </c>
      <c r="H14" s="88">
        <v>5.1843063023358602E-2</v>
      </c>
    </row>
    <row r="15" spans="1:13" ht="21.75" customHeight="1" x14ac:dyDescent="0.2">
      <c r="B15" s="76" t="s">
        <v>153</v>
      </c>
      <c r="D15" s="78">
        <f>SUM(D5:D14)</f>
        <v>975216.30960000015</v>
      </c>
      <c r="E15" s="77">
        <f>SUM(E5:E14)</f>
        <v>151</v>
      </c>
      <c r="F15" s="78">
        <f>SUM(F5:F14)</f>
        <v>67307.899959639049</v>
      </c>
      <c r="H15" s="89">
        <f>SUM(H5:H14)</f>
        <v>1.0000000000000007</v>
      </c>
    </row>
  </sheetData>
  <mergeCells count="1">
    <mergeCell ref="B2:J2"/>
  </mergeCells>
  <conditionalFormatting sqref="D5:D14">
    <cfRule type="colorScale" priority="2">
      <colorScale>
        <cfvo type="min"/>
        <cfvo type="max"/>
        <color rgb="FFFFFFFF"/>
        <color rgb="FF8B5CF6"/>
      </colorScale>
    </cfRule>
  </conditionalFormatting>
  <conditionalFormatting sqref="I5:I14">
    <cfRule type="dataBar" priority="3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{24B4EE86-4C80-4340-84EF-D1B9DAABA6C8}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B4EE86-4C80-4340-84EF-D1B9DAABA6C8}">
            <x14:dataBar axisPosition="none">
              <x14:cfvo type="min"/>
              <x14:cfvo type="max"/>
              <x14:negativeFillColor rgb="FF8B5CF6"/>
            </x14:dataBar>
          </x14:cfRule>
          <xm:sqref>I5:I14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6B6D4"/>
  </sheetPr>
  <dimension ref="B1:L11"/>
  <sheetViews>
    <sheetView showGridLines="0" zoomScaleNormal="100" workbookViewId="0">
      <selection activeCell="I21" sqref="I21"/>
    </sheetView>
  </sheetViews>
  <sheetFormatPr baseColWidth="10" defaultColWidth="8.6640625" defaultRowHeight="15" x14ac:dyDescent="0.2"/>
  <cols>
    <col min="1" max="1" width="2" customWidth="1"/>
    <col min="2" max="2" width="24" customWidth="1"/>
    <col min="3" max="3" width="18" customWidth="1"/>
    <col min="4" max="4" width="14" customWidth="1"/>
    <col min="5" max="6" width="18" customWidth="1"/>
    <col min="8" max="8" width="2" customWidth="1"/>
    <col min="9" max="9" width="20" customWidth="1"/>
    <col min="10" max="10" width="18" customWidth="1"/>
    <col min="11" max="11" width="14" customWidth="1"/>
    <col min="12" max="12" width="12" customWidth="1"/>
  </cols>
  <sheetData>
    <row r="1" spans="2:12" ht="31.5" customHeight="1" x14ac:dyDescent="0.2">
      <c r="B1" s="142" t="s">
        <v>160</v>
      </c>
      <c r="C1" s="142"/>
      <c r="D1" s="142"/>
      <c r="E1" s="142"/>
      <c r="F1" s="142"/>
      <c r="G1" s="142"/>
      <c r="H1" s="142"/>
      <c r="I1" s="142"/>
      <c r="J1" s="142"/>
    </row>
    <row r="3" spans="2:12" ht="27.75" customHeight="1" x14ac:dyDescent="0.2">
      <c r="B3" s="79" t="s">
        <v>86</v>
      </c>
      <c r="C3" s="79" t="s">
        <v>155</v>
      </c>
      <c r="D3" s="79" t="s">
        <v>156</v>
      </c>
      <c r="E3" s="79" t="s">
        <v>157</v>
      </c>
      <c r="F3" s="79" t="s">
        <v>158</v>
      </c>
      <c r="I3" s="69" t="s">
        <v>24</v>
      </c>
      <c r="J3" s="69" t="s">
        <v>25</v>
      </c>
      <c r="K3" s="69" t="s">
        <v>156</v>
      </c>
      <c r="L3" s="69" t="s">
        <v>161</v>
      </c>
    </row>
    <row r="4" spans="2:12" ht="19.5" customHeight="1" x14ac:dyDescent="0.2">
      <c r="B4" s="90" t="s">
        <v>29</v>
      </c>
      <c r="C4" s="91">
        <v>521274.82760000002</v>
      </c>
      <c r="D4" s="92">
        <v>54</v>
      </c>
      <c r="E4" s="91">
        <v>9653.2375481481504</v>
      </c>
      <c r="F4" s="93">
        <v>31.9</v>
      </c>
      <c r="I4" s="94" t="s">
        <v>33</v>
      </c>
      <c r="J4" s="95">
        <v>384076.56599999999</v>
      </c>
      <c r="K4" s="96">
        <v>29</v>
      </c>
      <c r="L4" s="97">
        <v>0.39383730790714</v>
      </c>
    </row>
    <row r="5" spans="2:12" ht="19.5" customHeight="1" x14ac:dyDescent="0.2">
      <c r="B5" s="98" t="s">
        <v>37</v>
      </c>
      <c r="C5" s="80">
        <v>258225.5104</v>
      </c>
      <c r="D5" s="81">
        <v>57</v>
      </c>
      <c r="E5" s="80">
        <v>4530.2721122806997</v>
      </c>
      <c r="F5" s="82">
        <v>29.1</v>
      </c>
      <c r="I5" s="60" t="s">
        <v>41</v>
      </c>
      <c r="J5" s="80">
        <v>182854.728</v>
      </c>
      <c r="K5" s="81">
        <v>37</v>
      </c>
      <c r="L5" s="83">
        <v>0.187501712389327</v>
      </c>
    </row>
    <row r="6" spans="2:12" ht="19.5" customHeight="1" x14ac:dyDescent="0.2">
      <c r="B6" s="90" t="s">
        <v>45</v>
      </c>
      <c r="C6" s="91">
        <v>195715.97159999999</v>
      </c>
      <c r="D6" s="92">
        <v>40</v>
      </c>
      <c r="E6" s="91">
        <v>4892.8992900000003</v>
      </c>
      <c r="F6" s="93">
        <v>30.9</v>
      </c>
      <c r="I6" s="94" t="s">
        <v>49</v>
      </c>
      <c r="J6" s="95">
        <v>87698.672000000006</v>
      </c>
      <c r="K6" s="96">
        <v>15</v>
      </c>
      <c r="L6" s="97">
        <v>8.9927404963080396E-2</v>
      </c>
    </row>
    <row r="7" spans="2:12" ht="19.5" customHeight="1" x14ac:dyDescent="0.2">
      <c r="I7" s="60" t="s">
        <v>58</v>
      </c>
      <c r="J7" s="80">
        <v>81188.824600000007</v>
      </c>
      <c r="K7" s="81">
        <v>16</v>
      </c>
      <c r="L7" s="83">
        <v>8.3252119351142601E-2</v>
      </c>
    </row>
    <row r="8" spans="2:12" ht="19.5" customHeight="1" x14ac:dyDescent="0.2">
      <c r="I8" s="94" t="s">
        <v>137</v>
      </c>
      <c r="J8" s="95">
        <v>68806.52</v>
      </c>
      <c r="K8" s="96">
        <v>18</v>
      </c>
      <c r="L8" s="97">
        <v>7.0555136663190202E-2</v>
      </c>
    </row>
    <row r="9" spans="2:12" ht="19.5" customHeight="1" x14ac:dyDescent="0.2">
      <c r="I9" s="60" t="s">
        <v>140</v>
      </c>
      <c r="J9" s="80">
        <v>61958.817600000002</v>
      </c>
      <c r="K9" s="81">
        <v>14</v>
      </c>
      <c r="L9" s="83">
        <v>6.3533409962568593E-2</v>
      </c>
    </row>
    <row r="10" spans="2:12" ht="19.5" customHeight="1" x14ac:dyDescent="0.2">
      <c r="I10" s="94" t="s">
        <v>132</v>
      </c>
      <c r="J10" s="95">
        <v>58073.980799999998</v>
      </c>
      <c r="K10" s="96">
        <v>11</v>
      </c>
      <c r="L10" s="97">
        <v>5.9549845740192703E-2</v>
      </c>
    </row>
    <row r="11" spans="2:12" ht="19.5" customHeight="1" x14ac:dyDescent="0.2">
      <c r="I11" s="60" t="s">
        <v>135</v>
      </c>
      <c r="J11" s="80">
        <v>50558.200599999996</v>
      </c>
      <c r="K11" s="81">
        <v>11</v>
      </c>
      <c r="L11" s="83">
        <v>5.1843063023358602E-2</v>
      </c>
    </row>
  </sheetData>
  <mergeCells count="1">
    <mergeCell ref="B1:J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4444"/>
  </sheetPr>
  <dimension ref="B1:L59"/>
  <sheetViews>
    <sheetView showGridLines="0" zoomScaleNormal="100" workbookViewId="0">
      <selection activeCell="E12" sqref="E12"/>
    </sheetView>
  </sheetViews>
  <sheetFormatPr baseColWidth="10" defaultColWidth="8.6640625" defaultRowHeight="15" x14ac:dyDescent="0.2"/>
  <cols>
    <col min="1" max="1" width="2" customWidth="1"/>
    <col min="2" max="2" width="31.1640625" customWidth="1"/>
    <col min="3" max="3" width="22" customWidth="1"/>
    <col min="4" max="4" width="20" customWidth="1"/>
    <col min="5" max="6" width="16" customWidth="1"/>
    <col min="7" max="7" width="10" customWidth="1"/>
    <col min="8" max="8" width="16" customWidth="1"/>
    <col min="9" max="10" width="14" customWidth="1"/>
    <col min="11" max="11" width="19" customWidth="1"/>
    <col min="12" max="12" width="12" customWidth="1"/>
  </cols>
  <sheetData>
    <row r="1" spans="2:12" ht="31.5" customHeight="1" x14ac:dyDescent="0.2">
      <c r="B1" s="143" t="s">
        <v>162</v>
      </c>
      <c r="C1" s="143"/>
      <c r="D1" s="143"/>
      <c r="E1" s="143"/>
      <c r="F1" s="143"/>
      <c r="G1" s="143"/>
      <c r="H1" s="143"/>
      <c r="I1" s="143"/>
      <c r="J1" s="143"/>
      <c r="K1" s="143"/>
    </row>
    <row r="2" spans="2:12" ht="19.5" customHeight="1" x14ac:dyDescent="0.2">
      <c r="B2" s="144" t="s">
        <v>163</v>
      </c>
      <c r="C2" s="144"/>
      <c r="D2" s="144"/>
      <c r="E2" s="144"/>
      <c r="F2" s="144"/>
      <c r="G2" s="144"/>
      <c r="H2" s="144"/>
      <c r="I2" s="144"/>
      <c r="J2" s="144"/>
      <c r="K2" s="144"/>
    </row>
    <row r="4" spans="2:12" ht="27.75" customHeight="1" x14ac:dyDescent="0.2">
      <c r="B4" s="99" t="s">
        <v>126</v>
      </c>
      <c r="C4" s="99" t="s">
        <v>86</v>
      </c>
      <c r="D4" s="99" t="s">
        <v>23</v>
      </c>
      <c r="E4" s="99" t="s">
        <v>24</v>
      </c>
      <c r="F4" s="99" t="s">
        <v>129</v>
      </c>
      <c r="G4" s="99" t="s">
        <v>130</v>
      </c>
      <c r="H4" s="99" t="s">
        <v>87</v>
      </c>
      <c r="I4" s="99" t="s">
        <v>127</v>
      </c>
      <c r="J4" s="99" t="s">
        <v>88</v>
      </c>
      <c r="K4" s="99" t="s">
        <v>89</v>
      </c>
      <c r="L4" s="99" t="s">
        <v>90</v>
      </c>
    </row>
    <row r="5" spans="2:12" ht="19.5" customHeight="1" x14ac:dyDescent="0.2">
      <c r="B5" s="100">
        <v>141</v>
      </c>
      <c r="C5" s="100" t="s">
        <v>37</v>
      </c>
      <c r="D5" s="100" t="s">
        <v>53</v>
      </c>
      <c r="E5" s="100" t="s">
        <v>41</v>
      </c>
      <c r="F5" s="101">
        <v>5927.21</v>
      </c>
      <c r="G5" s="100" t="s">
        <v>133</v>
      </c>
      <c r="H5" s="102">
        <v>5927.21</v>
      </c>
      <c r="I5" s="103">
        <v>45674</v>
      </c>
      <c r="J5" s="103">
        <v>45691</v>
      </c>
      <c r="K5" s="104">
        <v>172</v>
      </c>
      <c r="L5" s="100" t="s">
        <v>164</v>
      </c>
    </row>
    <row r="6" spans="2:12" ht="19.5" customHeight="1" x14ac:dyDescent="0.2">
      <c r="B6" s="105">
        <v>15</v>
      </c>
      <c r="C6" s="105" t="s">
        <v>29</v>
      </c>
      <c r="D6" s="105" t="s">
        <v>32</v>
      </c>
      <c r="E6" s="105" t="s">
        <v>33</v>
      </c>
      <c r="F6" s="106">
        <v>3846.67</v>
      </c>
      <c r="G6" s="105" t="s">
        <v>133</v>
      </c>
      <c r="H6" s="107">
        <v>3846.67</v>
      </c>
      <c r="I6" s="108">
        <v>45664</v>
      </c>
      <c r="J6" s="108">
        <v>45695</v>
      </c>
      <c r="K6" s="104">
        <v>168</v>
      </c>
      <c r="L6" s="105" t="s">
        <v>165</v>
      </c>
    </row>
    <row r="7" spans="2:12" ht="19.5" customHeight="1" x14ac:dyDescent="0.2">
      <c r="B7" s="100">
        <v>180</v>
      </c>
      <c r="C7" s="100" t="s">
        <v>29</v>
      </c>
      <c r="D7" s="100" t="s">
        <v>40</v>
      </c>
      <c r="E7" s="100" t="s">
        <v>41</v>
      </c>
      <c r="F7" s="101">
        <v>7000.9</v>
      </c>
      <c r="G7" s="100" t="s">
        <v>133</v>
      </c>
      <c r="H7" s="102">
        <v>7000.9</v>
      </c>
      <c r="I7" s="103">
        <v>45666</v>
      </c>
      <c r="J7" s="103">
        <v>45697</v>
      </c>
      <c r="K7" s="104">
        <v>166</v>
      </c>
      <c r="L7" s="100" t="s">
        <v>164</v>
      </c>
    </row>
    <row r="8" spans="2:12" ht="19.5" customHeight="1" x14ac:dyDescent="0.2">
      <c r="B8" s="105">
        <v>48</v>
      </c>
      <c r="C8" s="105" t="s">
        <v>45</v>
      </c>
      <c r="D8" s="105" t="s">
        <v>62</v>
      </c>
      <c r="E8" s="105" t="s">
        <v>33</v>
      </c>
      <c r="F8" s="106">
        <v>1516.43</v>
      </c>
      <c r="G8" s="105" t="s">
        <v>133</v>
      </c>
      <c r="H8" s="107">
        <v>1516.43</v>
      </c>
      <c r="I8" s="108">
        <v>45673</v>
      </c>
      <c r="J8" s="108">
        <v>45703</v>
      </c>
      <c r="K8" s="104">
        <v>160</v>
      </c>
      <c r="L8" s="105" t="s">
        <v>165</v>
      </c>
    </row>
    <row r="9" spans="2:12" ht="19.5" customHeight="1" x14ac:dyDescent="0.2">
      <c r="B9" s="100">
        <v>57</v>
      </c>
      <c r="C9" s="100" t="s">
        <v>37</v>
      </c>
      <c r="D9" s="100" t="s">
        <v>32</v>
      </c>
      <c r="E9" s="100" t="s">
        <v>33</v>
      </c>
      <c r="F9" s="101">
        <v>1109.1099999999999</v>
      </c>
      <c r="G9" s="100" t="s">
        <v>133</v>
      </c>
      <c r="H9" s="102">
        <v>1109.1099999999999</v>
      </c>
      <c r="I9" s="103">
        <v>45672</v>
      </c>
      <c r="J9" s="103">
        <v>45704</v>
      </c>
      <c r="K9" s="104">
        <v>159</v>
      </c>
      <c r="L9" s="100" t="s">
        <v>164</v>
      </c>
    </row>
    <row r="10" spans="2:12" ht="19.5" customHeight="1" x14ac:dyDescent="0.2">
      <c r="B10" s="105">
        <v>16</v>
      </c>
      <c r="C10" s="105" t="s">
        <v>45</v>
      </c>
      <c r="D10" s="105" t="s">
        <v>48</v>
      </c>
      <c r="E10" s="105" t="s">
        <v>49</v>
      </c>
      <c r="F10" s="106">
        <v>7770.02</v>
      </c>
      <c r="G10" s="105" t="s">
        <v>133</v>
      </c>
      <c r="H10" s="107">
        <v>7770.02</v>
      </c>
      <c r="I10" s="108">
        <v>45672</v>
      </c>
      <c r="J10" s="108">
        <v>45705</v>
      </c>
      <c r="K10" s="104">
        <v>158</v>
      </c>
      <c r="L10" s="105" t="s">
        <v>165</v>
      </c>
    </row>
    <row r="11" spans="2:12" ht="19.5" customHeight="1" x14ac:dyDescent="0.2">
      <c r="B11" s="100">
        <v>46</v>
      </c>
      <c r="C11" s="100" t="s">
        <v>45</v>
      </c>
      <c r="D11" s="100" t="s">
        <v>32</v>
      </c>
      <c r="E11" s="100" t="s">
        <v>33</v>
      </c>
      <c r="F11" s="101">
        <v>8788.06</v>
      </c>
      <c r="G11" s="100" t="s">
        <v>133</v>
      </c>
      <c r="H11" s="102">
        <v>8788.06</v>
      </c>
      <c r="I11" s="103">
        <v>45679</v>
      </c>
      <c r="J11" s="103">
        <v>45710</v>
      </c>
      <c r="K11" s="104">
        <v>153</v>
      </c>
      <c r="L11" s="100" t="s">
        <v>165</v>
      </c>
    </row>
    <row r="12" spans="2:12" ht="19.5" customHeight="1" x14ac:dyDescent="0.2">
      <c r="B12" s="105">
        <v>1</v>
      </c>
      <c r="C12" s="105" t="s">
        <v>37</v>
      </c>
      <c r="D12" s="105" t="s">
        <v>122</v>
      </c>
      <c r="E12" s="105" t="s">
        <v>132</v>
      </c>
      <c r="F12" s="106">
        <v>3915.42</v>
      </c>
      <c r="G12" s="105" t="s">
        <v>133</v>
      </c>
      <c r="H12" s="107">
        <v>3915.42</v>
      </c>
      <c r="I12" s="108">
        <v>45680</v>
      </c>
      <c r="J12" s="108">
        <v>45713</v>
      </c>
      <c r="K12" s="104">
        <v>150</v>
      </c>
      <c r="L12" s="105" t="s">
        <v>165</v>
      </c>
    </row>
    <row r="13" spans="2:12" ht="19.5" customHeight="1" x14ac:dyDescent="0.2">
      <c r="B13" s="100">
        <v>146</v>
      </c>
      <c r="C13" s="100" t="s">
        <v>37</v>
      </c>
      <c r="D13" s="100" t="s">
        <v>48</v>
      </c>
      <c r="E13" s="100" t="s">
        <v>49</v>
      </c>
      <c r="F13" s="101">
        <v>9193.73</v>
      </c>
      <c r="G13" s="100" t="s">
        <v>133</v>
      </c>
      <c r="H13" s="102">
        <v>9193.73</v>
      </c>
      <c r="I13" s="103">
        <v>45683</v>
      </c>
      <c r="J13" s="103">
        <v>45716</v>
      </c>
      <c r="K13" s="104">
        <v>147</v>
      </c>
      <c r="L13" s="100" t="s">
        <v>165</v>
      </c>
    </row>
    <row r="14" spans="2:12" ht="19.5" customHeight="1" x14ac:dyDescent="0.2">
      <c r="B14" s="105">
        <v>17</v>
      </c>
      <c r="C14" s="105" t="s">
        <v>29</v>
      </c>
      <c r="D14" s="105" t="s">
        <v>32</v>
      </c>
      <c r="E14" s="105" t="s">
        <v>33</v>
      </c>
      <c r="F14" s="106">
        <v>8062.31</v>
      </c>
      <c r="G14" s="105" t="s">
        <v>138</v>
      </c>
      <c r="H14" s="107">
        <v>5966.1094000000003</v>
      </c>
      <c r="I14" s="108">
        <v>45690</v>
      </c>
      <c r="J14" s="108">
        <v>45722</v>
      </c>
      <c r="K14" s="104">
        <v>141</v>
      </c>
      <c r="L14" s="105" t="s">
        <v>165</v>
      </c>
    </row>
    <row r="15" spans="2:12" ht="19.5" customHeight="1" x14ac:dyDescent="0.2">
      <c r="B15" s="100">
        <v>40</v>
      </c>
      <c r="C15" s="100" t="s">
        <v>37</v>
      </c>
      <c r="D15" s="100" t="s">
        <v>139</v>
      </c>
      <c r="E15" s="100" t="s">
        <v>140</v>
      </c>
      <c r="F15" s="101">
        <v>5559.89</v>
      </c>
      <c r="G15" s="100" t="s">
        <v>133</v>
      </c>
      <c r="H15" s="102">
        <v>5559.89</v>
      </c>
      <c r="I15" s="103">
        <v>45676</v>
      </c>
      <c r="J15" s="103">
        <v>45724</v>
      </c>
      <c r="K15" s="104">
        <v>139</v>
      </c>
      <c r="L15" s="100" t="s">
        <v>164</v>
      </c>
    </row>
    <row r="16" spans="2:12" ht="19.5" customHeight="1" x14ac:dyDescent="0.2">
      <c r="B16" s="105">
        <v>184</v>
      </c>
      <c r="C16" s="105" t="s">
        <v>29</v>
      </c>
      <c r="D16" s="105" t="s">
        <v>40</v>
      </c>
      <c r="E16" s="105" t="s">
        <v>41</v>
      </c>
      <c r="F16" s="106">
        <v>1354.55</v>
      </c>
      <c r="G16" s="105" t="s">
        <v>133</v>
      </c>
      <c r="H16" s="107">
        <v>1354.55</v>
      </c>
      <c r="I16" s="108">
        <v>45693</v>
      </c>
      <c r="J16" s="108">
        <v>45725</v>
      </c>
      <c r="K16" s="104">
        <v>138</v>
      </c>
      <c r="L16" s="105" t="s">
        <v>164</v>
      </c>
    </row>
    <row r="17" spans="2:12" ht="19.5" customHeight="1" x14ac:dyDescent="0.2">
      <c r="B17" s="100">
        <v>77</v>
      </c>
      <c r="C17" s="100" t="s">
        <v>45</v>
      </c>
      <c r="D17" s="100" t="s">
        <v>40</v>
      </c>
      <c r="E17" s="100" t="s">
        <v>41</v>
      </c>
      <c r="F17" s="101">
        <v>6917.53</v>
      </c>
      <c r="G17" s="100" t="s">
        <v>138</v>
      </c>
      <c r="H17" s="102">
        <v>5118.9722000000002</v>
      </c>
      <c r="I17" s="103">
        <v>45694</v>
      </c>
      <c r="J17" s="103">
        <v>45726</v>
      </c>
      <c r="K17" s="104">
        <v>137</v>
      </c>
      <c r="L17" s="100" t="s">
        <v>165</v>
      </c>
    </row>
    <row r="18" spans="2:12" ht="19.5" customHeight="1" x14ac:dyDescent="0.2">
      <c r="B18" s="105">
        <v>110</v>
      </c>
      <c r="C18" s="105" t="s">
        <v>29</v>
      </c>
      <c r="D18" s="105" t="s">
        <v>134</v>
      </c>
      <c r="E18" s="105" t="s">
        <v>135</v>
      </c>
      <c r="F18" s="106">
        <v>8536.84</v>
      </c>
      <c r="G18" s="105" t="s">
        <v>133</v>
      </c>
      <c r="H18" s="107">
        <v>8536.84</v>
      </c>
      <c r="I18" s="108">
        <v>45694</v>
      </c>
      <c r="J18" s="108">
        <v>45726</v>
      </c>
      <c r="K18" s="104">
        <v>137</v>
      </c>
      <c r="L18" s="105" t="s">
        <v>164</v>
      </c>
    </row>
    <row r="19" spans="2:12" ht="19.5" customHeight="1" x14ac:dyDescent="0.2">
      <c r="B19" s="100">
        <v>113</v>
      </c>
      <c r="C19" s="100" t="s">
        <v>29</v>
      </c>
      <c r="D19" s="100" t="s">
        <v>62</v>
      </c>
      <c r="E19" s="100" t="s">
        <v>33</v>
      </c>
      <c r="F19" s="101">
        <v>2228.4699999999998</v>
      </c>
      <c r="G19" s="100" t="s">
        <v>138</v>
      </c>
      <c r="H19" s="102">
        <v>1649.0678</v>
      </c>
      <c r="I19" s="103">
        <v>45696</v>
      </c>
      <c r="J19" s="103">
        <v>45727</v>
      </c>
      <c r="K19" s="104">
        <v>136</v>
      </c>
      <c r="L19" s="100" t="s">
        <v>164</v>
      </c>
    </row>
    <row r="20" spans="2:12" ht="19.5" customHeight="1" x14ac:dyDescent="0.2">
      <c r="B20" s="105">
        <v>47</v>
      </c>
      <c r="C20" s="105" t="s">
        <v>37</v>
      </c>
      <c r="D20" s="105" t="s">
        <v>136</v>
      </c>
      <c r="E20" s="105" t="s">
        <v>137</v>
      </c>
      <c r="F20" s="106">
        <v>4684.54</v>
      </c>
      <c r="G20" s="105" t="s">
        <v>133</v>
      </c>
      <c r="H20" s="107">
        <v>4684.54</v>
      </c>
      <c r="I20" s="108">
        <v>45680</v>
      </c>
      <c r="J20" s="108">
        <v>45727</v>
      </c>
      <c r="K20" s="104">
        <v>136</v>
      </c>
      <c r="L20" s="105" t="s">
        <v>165</v>
      </c>
    </row>
    <row r="21" spans="2:12" ht="19.5" customHeight="1" x14ac:dyDescent="0.2">
      <c r="B21" s="100">
        <v>39</v>
      </c>
      <c r="C21" s="100" t="s">
        <v>45</v>
      </c>
      <c r="D21" s="100" t="s">
        <v>32</v>
      </c>
      <c r="E21" s="100" t="s">
        <v>33</v>
      </c>
      <c r="F21" s="101">
        <v>9774.0499999999993</v>
      </c>
      <c r="G21" s="100" t="s">
        <v>133</v>
      </c>
      <c r="H21" s="102">
        <v>9774.0499999999993</v>
      </c>
      <c r="I21" s="103">
        <v>45697</v>
      </c>
      <c r="J21" s="103">
        <v>45730</v>
      </c>
      <c r="K21" s="104">
        <v>133</v>
      </c>
      <c r="L21" s="100" t="s">
        <v>165</v>
      </c>
    </row>
    <row r="22" spans="2:12" ht="19.5" customHeight="1" x14ac:dyDescent="0.2">
      <c r="B22" s="105">
        <v>175</v>
      </c>
      <c r="C22" s="105" t="s">
        <v>29</v>
      </c>
      <c r="D22" s="105" t="s">
        <v>40</v>
      </c>
      <c r="E22" s="105" t="s">
        <v>41</v>
      </c>
      <c r="F22" s="106">
        <v>2984.71</v>
      </c>
      <c r="G22" s="105" t="s">
        <v>133</v>
      </c>
      <c r="H22" s="107">
        <v>2984.71</v>
      </c>
      <c r="I22" s="108">
        <v>45701</v>
      </c>
      <c r="J22" s="108">
        <v>45734</v>
      </c>
      <c r="K22" s="104">
        <v>129</v>
      </c>
      <c r="L22" s="105" t="s">
        <v>164</v>
      </c>
    </row>
    <row r="23" spans="2:12" ht="19.5" customHeight="1" x14ac:dyDescent="0.2">
      <c r="B23" s="100">
        <v>61</v>
      </c>
      <c r="C23" s="100" t="s">
        <v>37</v>
      </c>
      <c r="D23" s="100" t="s">
        <v>48</v>
      </c>
      <c r="E23" s="100" t="s">
        <v>49</v>
      </c>
      <c r="F23" s="101">
        <v>8315.06</v>
      </c>
      <c r="G23" s="100" t="s">
        <v>133</v>
      </c>
      <c r="H23" s="102">
        <v>8315.06</v>
      </c>
      <c r="I23" s="103">
        <v>45702</v>
      </c>
      <c r="J23" s="103">
        <v>45734</v>
      </c>
      <c r="K23" s="104">
        <v>129</v>
      </c>
      <c r="L23" s="100" t="s">
        <v>164</v>
      </c>
    </row>
    <row r="24" spans="2:12" ht="19.5" customHeight="1" x14ac:dyDescent="0.2">
      <c r="B24" s="105">
        <v>55</v>
      </c>
      <c r="C24" s="105" t="s">
        <v>29</v>
      </c>
      <c r="D24" s="105" t="s">
        <v>53</v>
      </c>
      <c r="E24" s="105" t="s">
        <v>41</v>
      </c>
      <c r="F24" s="106">
        <v>7690.85</v>
      </c>
      <c r="G24" s="105" t="s">
        <v>133</v>
      </c>
      <c r="H24" s="107">
        <v>7690.85</v>
      </c>
      <c r="I24" s="108">
        <v>45730</v>
      </c>
      <c r="J24" s="108">
        <v>45746</v>
      </c>
      <c r="K24" s="104">
        <v>117</v>
      </c>
      <c r="L24" s="105" t="s">
        <v>165</v>
      </c>
    </row>
    <row r="25" spans="2:12" ht="19.5" customHeight="1" x14ac:dyDescent="0.2">
      <c r="B25" s="100">
        <v>134</v>
      </c>
      <c r="C25" s="100" t="s">
        <v>37</v>
      </c>
      <c r="D25" s="100" t="s">
        <v>57</v>
      </c>
      <c r="E25" s="100" t="s">
        <v>58</v>
      </c>
      <c r="F25" s="101">
        <v>3544.86</v>
      </c>
      <c r="G25" s="100" t="s">
        <v>133</v>
      </c>
      <c r="H25" s="102">
        <v>3544.86</v>
      </c>
      <c r="I25" s="103">
        <v>45716</v>
      </c>
      <c r="J25" s="103">
        <v>45747</v>
      </c>
      <c r="K25" s="104">
        <v>116</v>
      </c>
      <c r="L25" s="100" t="s">
        <v>164</v>
      </c>
    </row>
    <row r="26" spans="2:12" ht="19.5" customHeight="1" x14ac:dyDescent="0.2">
      <c r="B26" s="105">
        <v>160</v>
      </c>
      <c r="C26" s="105" t="s">
        <v>29</v>
      </c>
      <c r="D26" s="105" t="s">
        <v>134</v>
      </c>
      <c r="E26" s="105" t="s">
        <v>135</v>
      </c>
      <c r="F26" s="106">
        <v>3769.93</v>
      </c>
      <c r="G26" s="105" t="s">
        <v>133</v>
      </c>
      <c r="H26" s="107">
        <v>3769.93</v>
      </c>
      <c r="I26" s="108">
        <v>45718</v>
      </c>
      <c r="J26" s="108">
        <v>45751</v>
      </c>
      <c r="K26" s="104">
        <v>112</v>
      </c>
      <c r="L26" s="105" t="s">
        <v>165</v>
      </c>
    </row>
    <row r="27" spans="2:12" ht="19.5" customHeight="1" x14ac:dyDescent="0.2">
      <c r="B27" s="100">
        <v>178</v>
      </c>
      <c r="C27" s="100" t="s">
        <v>45</v>
      </c>
      <c r="D27" s="100" t="s">
        <v>62</v>
      </c>
      <c r="E27" s="100" t="s">
        <v>33</v>
      </c>
      <c r="F27" s="101">
        <v>9357.98</v>
      </c>
      <c r="G27" s="100" t="s">
        <v>138</v>
      </c>
      <c r="H27" s="102">
        <v>6924.9052000000001</v>
      </c>
      <c r="I27" s="103">
        <v>45727</v>
      </c>
      <c r="J27" s="103">
        <v>45758</v>
      </c>
      <c r="K27" s="104">
        <v>105</v>
      </c>
      <c r="L27" s="100" t="s">
        <v>165</v>
      </c>
    </row>
    <row r="28" spans="2:12" ht="19.5" customHeight="1" x14ac:dyDescent="0.2">
      <c r="B28" s="105">
        <v>96</v>
      </c>
      <c r="C28" s="105" t="s">
        <v>45</v>
      </c>
      <c r="D28" s="105" t="s">
        <v>57</v>
      </c>
      <c r="E28" s="105" t="s">
        <v>58</v>
      </c>
      <c r="F28" s="106">
        <v>9098.81</v>
      </c>
      <c r="G28" s="105" t="s">
        <v>138</v>
      </c>
      <c r="H28" s="107">
        <v>6733.1193999999996</v>
      </c>
      <c r="I28" s="108">
        <v>45727</v>
      </c>
      <c r="J28" s="108">
        <v>45758</v>
      </c>
      <c r="K28" s="104">
        <v>105</v>
      </c>
      <c r="L28" s="105" t="s">
        <v>165</v>
      </c>
    </row>
    <row r="29" spans="2:12" ht="19.5" customHeight="1" x14ac:dyDescent="0.2">
      <c r="B29" s="100">
        <v>31</v>
      </c>
      <c r="C29" s="100" t="s">
        <v>45</v>
      </c>
      <c r="D29" s="100" t="s">
        <v>57</v>
      </c>
      <c r="E29" s="100" t="s">
        <v>58</v>
      </c>
      <c r="F29" s="101">
        <v>4395.58</v>
      </c>
      <c r="G29" s="100" t="s">
        <v>138</v>
      </c>
      <c r="H29" s="102">
        <v>3252.7292000000002</v>
      </c>
      <c r="I29" s="103">
        <v>45728</v>
      </c>
      <c r="J29" s="103">
        <v>45760</v>
      </c>
      <c r="K29" s="104">
        <v>103</v>
      </c>
      <c r="L29" s="100" t="s">
        <v>165</v>
      </c>
    </row>
    <row r="30" spans="2:12" ht="19.5" customHeight="1" x14ac:dyDescent="0.2">
      <c r="B30" s="105">
        <v>41</v>
      </c>
      <c r="C30" s="105" t="s">
        <v>37</v>
      </c>
      <c r="D30" s="105" t="s">
        <v>62</v>
      </c>
      <c r="E30" s="105" t="s">
        <v>33</v>
      </c>
      <c r="F30" s="106">
        <v>2277.71</v>
      </c>
      <c r="G30" s="105" t="s">
        <v>133</v>
      </c>
      <c r="H30" s="107">
        <v>2277.71</v>
      </c>
      <c r="I30" s="108">
        <v>45732</v>
      </c>
      <c r="J30" s="108">
        <v>45763</v>
      </c>
      <c r="K30" s="104">
        <v>100</v>
      </c>
      <c r="L30" s="105" t="s">
        <v>164</v>
      </c>
    </row>
    <row r="31" spans="2:12" ht="19.5" customHeight="1" x14ac:dyDescent="0.2">
      <c r="B31" s="100">
        <v>142</v>
      </c>
      <c r="C31" s="100" t="s">
        <v>45</v>
      </c>
      <c r="D31" s="100" t="s">
        <v>136</v>
      </c>
      <c r="E31" s="100" t="s">
        <v>137</v>
      </c>
      <c r="F31" s="101">
        <v>7716.36</v>
      </c>
      <c r="G31" s="100" t="s">
        <v>133</v>
      </c>
      <c r="H31" s="102">
        <v>7716.36</v>
      </c>
      <c r="I31" s="103">
        <v>45721</v>
      </c>
      <c r="J31" s="103">
        <v>45767</v>
      </c>
      <c r="K31" s="104">
        <v>96</v>
      </c>
      <c r="L31" s="100" t="s">
        <v>164</v>
      </c>
    </row>
    <row r="32" spans="2:12" ht="19.5" customHeight="1" x14ac:dyDescent="0.2">
      <c r="B32" s="105">
        <v>81</v>
      </c>
      <c r="C32" s="105" t="s">
        <v>45</v>
      </c>
      <c r="D32" s="105" t="s">
        <v>48</v>
      </c>
      <c r="E32" s="105" t="s">
        <v>49</v>
      </c>
      <c r="F32" s="106">
        <v>7194.19</v>
      </c>
      <c r="G32" s="105" t="s">
        <v>133</v>
      </c>
      <c r="H32" s="107">
        <v>7194.19</v>
      </c>
      <c r="I32" s="108">
        <v>45741</v>
      </c>
      <c r="J32" s="108">
        <v>45774</v>
      </c>
      <c r="K32" s="104">
        <v>89</v>
      </c>
      <c r="L32" s="105" t="s">
        <v>165</v>
      </c>
    </row>
    <row r="33" spans="2:12" ht="19.5" customHeight="1" x14ac:dyDescent="0.2">
      <c r="B33" s="100">
        <v>53</v>
      </c>
      <c r="C33" s="100" t="s">
        <v>29</v>
      </c>
      <c r="D33" s="100" t="s">
        <v>134</v>
      </c>
      <c r="E33" s="100" t="s">
        <v>135</v>
      </c>
      <c r="F33" s="101">
        <v>6178.09</v>
      </c>
      <c r="G33" s="100" t="s">
        <v>138</v>
      </c>
      <c r="H33" s="102">
        <v>4571.7866000000004</v>
      </c>
      <c r="I33" s="103">
        <v>45747</v>
      </c>
      <c r="J33" s="103">
        <v>45777</v>
      </c>
      <c r="K33" s="104">
        <v>86</v>
      </c>
      <c r="L33" s="100" t="s">
        <v>165</v>
      </c>
    </row>
    <row r="34" spans="2:12" ht="19.5" customHeight="1" x14ac:dyDescent="0.2">
      <c r="B34" s="105">
        <v>137</v>
      </c>
      <c r="C34" s="105" t="s">
        <v>37</v>
      </c>
      <c r="D34" s="105" t="s">
        <v>62</v>
      </c>
      <c r="E34" s="105" t="s">
        <v>33</v>
      </c>
      <c r="F34" s="106">
        <v>6324.54</v>
      </c>
      <c r="G34" s="105" t="s">
        <v>133</v>
      </c>
      <c r="H34" s="107">
        <v>6324.54</v>
      </c>
      <c r="I34" s="108">
        <v>45745</v>
      </c>
      <c r="J34" s="108">
        <v>45778</v>
      </c>
      <c r="K34" s="104">
        <v>85</v>
      </c>
      <c r="L34" s="105" t="s">
        <v>165</v>
      </c>
    </row>
    <row r="35" spans="2:12" ht="19.5" customHeight="1" x14ac:dyDescent="0.2">
      <c r="B35" s="100">
        <v>195</v>
      </c>
      <c r="C35" s="100" t="s">
        <v>29</v>
      </c>
      <c r="D35" s="100" t="s">
        <v>32</v>
      </c>
      <c r="E35" s="100" t="s">
        <v>33</v>
      </c>
      <c r="F35" s="101">
        <v>7586.96</v>
      </c>
      <c r="G35" s="100" t="s">
        <v>138</v>
      </c>
      <c r="H35" s="102">
        <v>5614.3504000000003</v>
      </c>
      <c r="I35" s="103">
        <v>45748</v>
      </c>
      <c r="J35" s="103">
        <v>45779</v>
      </c>
      <c r="K35" s="104">
        <v>84</v>
      </c>
      <c r="L35" s="100" t="s">
        <v>165</v>
      </c>
    </row>
    <row r="36" spans="2:12" ht="19.5" customHeight="1" x14ac:dyDescent="0.2">
      <c r="B36" s="105">
        <v>66</v>
      </c>
      <c r="C36" s="105" t="s">
        <v>45</v>
      </c>
      <c r="D36" s="105" t="s">
        <v>40</v>
      </c>
      <c r="E36" s="105" t="s">
        <v>41</v>
      </c>
      <c r="F36" s="106">
        <v>9401.4599999999991</v>
      </c>
      <c r="G36" s="105" t="s">
        <v>133</v>
      </c>
      <c r="H36" s="107">
        <v>9401.4599999999991</v>
      </c>
      <c r="I36" s="108">
        <v>45751</v>
      </c>
      <c r="J36" s="108">
        <v>45781</v>
      </c>
      <c r="K36" s="104">
        <v>82</v>
      </c>
      <c r="L36" s="105" t="s">
        <v>165</v>
      </c>
    </row>
    <row r="37" spans="2:12" ht="19.5" customHeight="1" x14ac:dyDescent="0.2">
      <c r="B37" s="100">
        <v>105</v>
      </c>
      <c r="C37" s="100" t="s">
        <v>37</v>
      </c>
      <c r="D37" s="100" t="s">
        <v>139</v>
      </c>
      <c r="E37" s="100" t="s">
        <v>140</v>
      </c>
      <c r="F37" s="101">
        <v>1756.81</v>
      </c>
      <c r="G37" s="100" t="s">
        <v>133</v>
      </c>
      <c r="H37" s="102">
        <v>1756.81</v>
      </c>
      <c r="I37" s="103">
        <v>45734</v>
      </c>
      <c r="J37" s="103">
        <v>45782</v>
      </c>
      <c r="K37" s="104">
        <v>81</v>
      </c>
      <c r="L37" s="100" t="s">
        <v>165</v>
      </c>
    </row>
    <row r="38" spans="2:12" ht="19.5" customHeight="1" x14ac:dyDescent="0.2">
      <c r="B38" s="105">
        <v>155</v>
      </c>
      <c r="C38" s="105" t="s">
        <v>29</v>
      </c>
      <c r="D38" s="105" t="s">
        <v>136</v>
      </c>
      <c r="E38" s="105" t="s">
        <v>137</v>
      </c>
      <c r="F38" s="106">
        <v>8892.6200000000008</v>
      </c>
      <c r="G38" s="105" t="s">
        <v>138</v>
      </c>
      <c r="H38" s="107">
        <v>6580.5388000000003</v>
      </c>
      <c r="I38" s="108">
        <v>45738</v>
      </c>
      <c r="J38" s="108">
        <v>45786</v>
      </c>
      <c r="K38" s="104">
        <v>77</v>
      </c>
      <c r="L38" s="105" t="s">
        <v>165</v>
      </c>
    </row>
    <row r="39" spans="2:12" ht="19.5" customHeight="1" x14ac:dyDescent="0.2">
      <c r="B39" s="100">
        <v>128</v>
      </c>
      <c r="C39" s="100" t="s">
        <v>45</v>
      </c>
      <c r="D39" s="100" t="s">
        <v>57</v>
      </c>
      <c r="E39" s="100" t="s">
        <v>58</v>
      </c>
      <c r="F39" s="101">
        <v>8270.65</v>
      </c>
      <c r="G39" s="100" t="s">
        <v>133</v>
      </c>
      <c r="H39" s="102">
        <v>8270.65</v>
      </c>
      <c r="I39" s="103">
        <v>45758</v>
      </c>
      <c r="J39" s="103">
        <v>45790</v>
      </c>
      <c r="K39" s="104">
        <v>73</v>
      </c>
      <c r="L39" s="100" t="s">
        <v>165</v>
      </c>
    </row>
    <row r="40" spans="2:12" ht="19.5" customHeight="1" x14ac:dyDescent="0.2">
      <c r="B40" s="105">
        <v>86</v>
      </c>
      <c r="C40" s="105" t="s">
        <v>29</v>
      </c>
      <c r="D40" s="105" t="s">
        <v>139</v>
      </c>
      <c r="E40" s="105" t="s">
        <v>140</v>
      </c>
      <c r="F40" s="106">
        <v>3718.93</v>
      </c>
      <c r="G40" s="105" t="s">
        <v>138</v>
      </c>
      <c r="H40" s="107">
        <v>2752.0082000000002</v>
      </c>
      <c r="I40" s="108">
        <v>45742</v>
      </c>
      <c r="J40" s="108">
        <v>45790</v>
      </c>
      <c r="K40" s="104">
        <v>73</v>
      </c>
      <c r="L40" s="105" t="s">
        <v>165</v>
      </c>
    </row>
    <row r="41" spans="2:12" ht="19.5" customHeight="1" x14ac:dyDescent="0.2">
      <c r="B41" s="100">
        <v>38</v>
      </c>
      <c r="C41" s="100" t="s">
        <v>45</v>
      </c>
      <c r="D41" s="100" t="s">
        <v>48</v>
      </c>
      <c r="E41" s="100" t="s">
        <v>49</v>
      </c>
      <c r="F41" s="101">
        <v>7664.62</v>
      </c>
      <c r="G41" s="100" t="s">
        <v>138</v>
      </c>
      <c r="H41" s="102">
        <v>5671.8188</v>
      </c>
      <c r="I41" s="103">
        <v>45758</v>
      </c>
      <c r="J41" s="103">
        <v>45791</v>
      </c>
      <c r="K41" s="104">
        <v>72</v>
      </c>
      <c r="L41" s="100" t="s">
        <v>164</v>
      </c>
    </row>
    <row r="42" spans="2:12" ht="19.5" customHeight="1" x14ac:dyDescent="0.2">
      <c r="B42" s="105">
        <v>172</v>
      </c>
      <c r="C42" s="105" t="s">
        <v>45</v>
      </c>
      <c r="D42" s="105" t="s">
        <v>122</v>
      </c>
      <c r="E42" s="105" t="s">
        <v>132</v>
      </c>
      <c r="F42" s="106">
        <v>9436.2199999999993</v>
      </c>
      <c r="G42" s="105" t="s">
        <v>138</v>
      </c>
      <c r="H42" s="107">
        <v>6982.8028000000004</v>
      </c>
      <c r="I42" s="108">
        <v>45777</v>
      </c>
      <c r="J42" s="108">
        <v>45810</v>
      </c>
      <c r="K42" s="109">
        <v>53</v>
      </c>
      <c r="L42" s="105" t="s">
        <v>165</v>
      </c>
    </row>
    <row r="43" spans="2:12" ht="19.5" customHeight="1" x14ac:dyDescent="0.2">
      <c r="B43" s="100">
        <v>191</v>
      </c>
      <c r="C43" s="100" t="s">
        <v>45</v>
      </c>
      <c r="D43" s="100" t="s">
        <v>53</v>
      </c>
      <c r="E43" s="100" t="s">
        <v>41</v>
      </c>
      <c r="F43" s="101">
        <v>841.64</v>
      </c>
      <c r="G43" s="100" t="s">
        <v>133</v>
      </c>
      <c r="H43" s="102">
        <v>841.64</v>
      </c>
      <c r="I43" s="103">
        <v>45792</v>
      </c>
      <c r="J43" s="103">
        <v>45810</v>
      </c>
      <c r="K43" s="109">
        <v>53</v>
      </c>
      <c r="L43" s="100" t="s">
        <v>165</v>
      </c>
    </row>
    <row r="44" spans="2:12" ht="19.5" customHeight="1" x14ac:dyDescent="0.2">
      <c r="B44" s="105">
        <v>139</v>
      </c>
      <c r="C44" s="105" t="s">
        <v>37</v>
      </c>
      <c r="D44" s="105" t="s">
        <v>139</v>
      </c>
      <c r="E44" s="105" t="s">
        <v>140</v>
      </c>
      <c r="F44" s="106">
        <v>4874.74</v>
      </c>
      <c r="G44" s="105" t="s">
        <v>133</v>
      </c>
      <c r="H44" s="107">
        <v>4874.74</v>
      </c>
      <c r="I44" s="108">
        <v>45771</v>
      </c>
      <c r="J44" s="108">
        <v>45816</v>
      </c>
      <c r="K44" s="109">
        <v>47</v>
      </c>
      <c r="L44" s="105" t="s">
        <v>165</v>
      </c>
    </row>
    <row r="45" spans="2:12" ht="19.5" customHeight="1" x14ac:dyDescent="0.2">
      <c r="B45" s="100">
        <v>100</v>
      </c>
      <c r="C45" s="100" t="s">
        <v>29</v>
      </c>
      <c r="D45" s="100" t="s">
        <v>139</v>
      </c>
      <c r="E45" s="100" t="s">
        <v>140</v>
      </c>
      <c r="F45" s="101">
        <v>6301.97</v>
      </c>
      <c r="G45" s="100" t="s">
        <v>133</v>
      </c>
      <c r="H45" s="102">
        <v>6301.97</v>
      </c>
      <c r="I45" s="103">
        <v>45772</v>
      </c>
      <c r="J45" s="103">
        <v>45817</v>
      </c>
      <c r="K45" s="109">
        <v>46</v>
      </c>
      <c r="L45" s="100" t="s">
        <v>164</v>
      </c>
    </row>
    <row r="46" spans="2:12" ht="19.5" customHeight="1" x14ac:dyDescent="0.2">
      <c r="B46" s="105">
        <v>13</v>
      </c>
      <c r="C46" s="105" t="s">
        <v>45</v>
      </c>
      <c r="D46" s="105" t="s">
        <v>48</v>
      </c>
      <c r="E46" s="105" t="s">
        <v>49</v>
      </c>
      <c r="F46" s="106">
        <v>7998.2</v>
      </c>
      <c r="G46" s="105" t="s">
        <v>138</v>
      </c>
      <c r="H46" s="107">
        <v>5918.6679999999997</v>
      </c>
      <c r="I46" s="108">
        <v>45788</v>
      </c>
      <c r="J46" s="108">
        <v>45820</v>
      </c>
      <c r="K46" s="109">
        <v>43</v>
      </c>
      <c r="L46" s="105" t="s">
        <v>165</v>
      </c>
    </row>
    <row r="47" spans="2:12" ht="19.5" customHeight="1" x14ac:dyDescent="0.2">
      <c r="B47" s="100">
        <v>177</v>
      </c>
      <c r="C47" s="100" t="s">
        <v>37</v>
      </c>
      <c r="D47" s="100" t="s">
        <v>40</v>
      </c>
      <c r="E47" s="100" t="s">
        <v>41</v>
      </c>
      <c r="F47" s="101">
        <v>2799.07</v>
      </c>
      <c r="G47" s="100" t="s">
        <v>133</v>
      </c>
      <c r="H47" s="102">
        <v>2799.07</v>
      </c>
      <c r="I47" s="103">
        <v>45788</v>
      </c>
      <c r="J47" s="103">
        <v>45821</v>
      </c>
      <c r="K47" s="109">
        <v>42</v>
      </c>
      <c r="L47" s="100" t="s">
        <v>164</v>
      </c>
    </row>
    <row r="48" spans="2:12" ht="19.5" customHeight="1" x14ac:dyDescent="0.2">
      <c r="B48" s="105">
        <v>112</v>
      </c>
      <c r="C48" s="105" t="s">
        <v>29</v>
      </c>
      <c r="D48" s="105" t="s">
        <v>57</v>
      </c>
      <c r="E48" s="105" t="s">
        <v>58</v>
      </c>
      <c r="F48" s="106">
        <v>3867.03</v>
      </c>
      <c r="G48" s="105" t="s">
        <v>138</v>
      </c>
      <c r="H48" s="107">
        <v>2861.6021999999998</v>
      </c>
      <c r="I48" s="108">
        <v>45792</v>
      </c>
      <c r="J48" s="108">
        <v>45822</v>
      </c>
      <c r="K48" s="109">
        <v>41</v>
      </c>
      <c r="L48" s="105" t="s">
        <v>164</v>
      </c>
    </row>
    <row r="49" spans="2:12" ht="19.5" customHeight="1" x14ac:dyDescent="0.2">
      <c r="B49" s="100">
        <v>153</v>
      </c>
      <c r="C49" s="100" t="s">
        <v>45</v>
      </c>
      <c r="D49" s="100" t="s">
        <v>40</v>
      </c>
      <c r="E49" s="100" t="s">
        <v>41</v>
      </c>
      <c r="F49" s="101">
        <v>1560.22</v>
      </c>
      <c r="G49" s="100" t="s">
        <v>138</v>
      </c>
      <c r="H49" s="102">
        <v>1154.5627999999999</v>
      </c>
      <c r="I49" s="103">
        <v>45798</v>
      </c>
      <c r="J49" s="103">
        <v>45828</v>
      </c>
      <c r="K49" s="109">
        <v>35</v>
      </c>
      <c r="L49" s="100" t="s">
        <v>165</v>
      </c>
    </row>
    <row r="50" spans="2:12" ht="19.5" customHeight="1" x14ac:dyDescent="0.2">
      <c r="B50" s="105">
        <v>64</v>
      </c>
      <c r="C50" s="105" t="s">
        <v>29</v>
      </c>
      <c r="D50" s="105" t="s">
        <v>139</v>
      </c>
      <c r="E50" s="105" t="s">
        <v>140</v>
      </c>
      <c r="F50" s="106">
        <v>1867.51</v>
      </c>
      <c r="G50" s="105" t="s">
        <v>133</v>
      </c>
      <c r="H50" s="107">
        <v>1867.51</v>
      </c>
      <c r="I50" s="108">
        <v>45785</v>
      </c>
      <c r="J50" s="108">
        <v>45830</v>
      </c>
      <c r="K50" s="109">
        <v>33</v>
      </c>
      <c r="L50" s="105" t="s">
        <v>165</v>
      </c>
    </row>
    <row r="51" spans="2:12" ht="19.5" customHeight="1" x14ac:dyDescent="0.2">
      <c r="B51" s="100">
        <v>187</v>
      </c>
      <c r="C51" s="100" t="s">
        <v>37</v>
      </c>
      <c r="D51" s="100" t="s">
        <v>139</v>
      </c>
      <c r="E51" s="100" t="s">
        <v>140</v>
      </c>
      <c r="F51" s="101">
        <v>9935.2800000000007</v>
      </c>
      <c r="G51" s="100" t="s">
        <v>133</v>
      </c>
      <c r="H51" s="102">
        <v>9935.2800000000007</v>
      </c>
      <c r="I51" s="103">
        <v>45791</v>
      </c>
      <c r="J51" s="103">
        <v>45837</v>
      </c>
      <c r="K51" s="110">
        <v>26</v>
      </c>
      <c r="L51" s="100" t="s">
        <v>165</v>
      </c>
    </row>
    <row r="52" spans="2:12" ht="19.5" customHeight="1" x14ac:dyDescent="0.2">
      <c r="B52" s="105">
        <v>97</v>
      </c>
      <c r="C52" s="105" t="s">
        <v>45</v>
      </c>
      <c r="D52" s="105" t="s">
        <v>48</v>
      </c>
      <c r="E52" s="105" t="s">
        <v>49</v>
      </c>
      <c r="F52" s="106">
        <v>7003.34</v>
      </c>
      <c r="G52" s="105" t="s">
        <v>133</v>
      </c>
      <c r="H52" s="107">
        <v>7003.34</v>
      </c>
      <c r="I52" s="108">
        <v>45807</v>
      </c>
      <c r="J52" s="108">
        <v>45840</v>
      </c>
      <c r="K52" s="111">
        <v>23</v>
      </c>
      <c r="L52" s="105" t="s">
        <v>164</v>
      </c>
    </row>
    <row r="53" spans="2:12" ht="19.5" customHeight="1" x14ac:dyDescent="0.2">
      <c r="B53" s="100">
        <v>9</v>
      </c>
      <c r="C53" s="100" t="s">
        <v>37</v>
      </c>
      <c r="D53" s="100" t="s">
        <v>139</v>
      </c>
      <c r="E53" s="100" t="s">
        <v>140</v>
      </c>
      <c r="F53" s="101">
        <v>9976.02</v>
      </c>
      <c r="G53" s="100" t="s">
        <v>138</v>
      </c>
      <c r="H53" s="102">
        <v>7382.2547999999997</v>
      </c>
      <c r="I53" s="103">
        <v>45808</v>
      </c>
      <c r="J53" s="103">
        <v>45853</v>
      </c>
      <c r="K53" s="110">
        <v>10</v>
      </c>
      <c r="L53" s="100" t="s">
        <v>164</v>
      </c>
    </row>
    <row r="56" spans="2:12" ht="15" customHeight="1" x14ac:dyDescent="0.2">
      <c r="B56" s="112" t="s">
        <v>166</v>
      </c>
    </row>
    <row r="57" spans="2:12" ht="15" customHeight="1" x14ac:dyDescent="0.2">
      <c r="B57" s="113" t="s">
        <v>167</v>
      </c>
    </row>
    <row r="58" spans="2:12" ht="15" customHeight="1" x14ac:dyDescent="0.2">
      <c r="B58" s="113" t="s">
        <v>168</v>
      </c>
    </row>
    <row r="59" spans="2:12" ht="15" customHeight="1" x14ac:dyDescent="0.2">
      <c r="B59" s="113" t="s">
        <v>169</v>
      </c>
    </row>
  </sheetData>
  <autoFilter ref="B4:L4" xr:uid="{00000000-0009-0000-0000-000005000000}"/>
  <mergeCells count="2">
    <mergeCell ref="B1:K1"/>
    <mergeCell ref="B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97316"/>
  </sheetPr>
  <dimension ref="B1:I17"/>
  <sheetViews>
    <sheetView showGridLines="0" topLeftCell="A9" zoomScaleNormal="100" workbookViewId="0">
      <selection activeCell="I28" sqref="I28"/>
    </sheetView>
  </sheetViews>
  <sheetFormatPr baseColWidth="10" defaultColWidth="8.6640625" defaultRowHeight="15" x14ac:dyDescent="0.2"/>
  <cols>
    <col min="1" max="1" width="7.6640625" customWidth="1"/>
    <col min="2" max="2" width="22" customWidth="1"/>
    <col min="3" max="5" width="18" customWidth="1"/>
  </cols>
  <sheetData>
    <row r="1" spans="2:9" ht="31.5" customHeight="1" x14ac:dyDescent="0.2">
      <c r="B1" s="142" t="s">
        <v>170</v>
      </c>
      <c r="C1" s="142"/>
      <c r="D1" s="142"/>
      <c r="E1" s="142"/>
      <c r="F1" s="142"/>
      <c r="G1" s="142"/>
      <c r="H1" s="142"/>
      <c r="I1" s="142"/>
    </row>
    <row r="3" spans="2:9" ht="27.75" customHeight="1" x14ac:dyDescent="0.2">
      <c r="B3" s="114" t="s">
        <v>171</v>
      </c>
    </row>
    <row r="4" spans="2:9" ht="25.5" customHeight="1" x14ac:dyDescent="0.2">
      <c r="B4" s="69" t="s">
        <v>172</v>
      </c>
      <c r="C4" s="69" t="s">
        <v>173</v>
      </c>
      <c r="D4" s="69" t="s">
        <v>174</v>
      </c>
      <c r="E4" s="69" t="s">
        <v>175</v>
      </c>
    </row>
    <row r="5" spans="2:9" ht="19.5" customHeight="1" x14ac:dyDescent="0.2">
      <c r="B5" s="60" t="s">
        <v>176</v>
      </c>
      <c r="C5" s="81">
        <v>78</v>
      </c>
      <c r="D5" s="115">
        <v>4087.09</v>
      </c>
      <c r="E5" s="115">
        <v>52.398589743589802</v>
      </c>
    </row>
    <row r="6" spans="2:9" ht="19.5" customHeight="1" x14ac:dyDescent="0.2">
      <c r="B6" s="94" t="s">
        <v>177</v>
      </c>
      <c r="C6" s="96">
        <v>74</v>
      </c>
      <c r="D6" s="116">
        <v>3937.4</v>
      </c>
      <c r="E6" s="116">
        <v>53.2081081081081</v>
      </c>
    </row>
    <row r="10" spans="2:9" ht="25.5" customHeight="1" x14ac:dyDescent="0.2">
      <c r="B10" s="114" t="s">
        <v>178</v>
      </c>
    </row>
    <row r="11" spans="2:9" ht="25.5" customHeight="1" x14ac:dyDescent="0.2">
      <c r="B11" s="69" t="s">
        <v>179</v>
      </c>
      <c r="C11" s="69" t="s">
        <v>156</v>
      </c>
    </row>
    <row r="12" spans="2:9" ht="19.5" customHeight="1" x14ac:dyDescent="0.2">
      <c r="B12" s="117" t="s">
        <v>180</v>
      </c>
      <c r="C12" s="118">
        <v>16</v>
      </c>
    </row>
    <row r="13" spans="2:9" ht="19.5" customHeight="1" x14ac:dyDescent="0.2">
      <c r="B13" s="60" t="s">
        <v>181</v>
      </c>
      <c r="C13" s="81">
        <v>17</v>
      </c>
    </row>
    <row r="14" spans="2:9" ht="19.5" customHeight="1" x14ac:dyDescent="0.2">
      <c r="B14" s="117" t="s">
        <v>182</v>
      </c>
      <c r="C14" s="118">
        <v>37</v>
      </c>
    </row>
    <row r="15" spans="2:9" ht="19.5" customHeight="1" x14ac:dyDescent="0.2">
      <c r="B15" s="60" t="s">
        <v>183</v>
      </c>
      <c r="C15" s="81">
        <v>43</v>
      </c>
    </row>
    <row r="16" spans="2:9" ht="19.5" customHeight="1" x14ac:dyDescent="0.2">
      <c r="B16" s="117" t="s">
        <v>184</v>
      </c>
      <c r="C16" s="118">
        <v>36</v>
      </c>
    </row>
    <row r="17" spans="2:3" ht="19.5" customHeight="1" x14ac:dyDescent="0.2">
      <c r="B17" s="60" t="s">
        <v>185</v>
      </c>
      <c r="C17" s="81">
        <v>1</v>
      </c>
    </row>
  </sheetData>
  <mergeCells count="1">
    <mergeCell ref="B1:I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Invoices</vt:lpstr>
      <vt:lpstr>Monthly Summary</vt:lpstr>
      <vt:lpstr>Vendor Analysis</vt:lpstr>
      <vt:lpstr>Company Summary</vt:lpstr>
      <vt:lpstr>Overdue Tracker</vt:lpstr>
      <vt:lpstr>Payment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Nguyễn Nhật Khánh Trang</cp:lastModifiedBy>
  <cp:revision>3</cp:revision>
  <dcterms:created xsi:type="dcterms:W3CDTF">2026-03-06T09:16:58Z</dcterms:created>
  <dcterms:modified xsi:type="dcterms:W3CDTF">2026-03-06T10:01:18Z</dcterms:modified>
  <dc:language>en-US</dc:language>
</cp:coreProperties>
</file>